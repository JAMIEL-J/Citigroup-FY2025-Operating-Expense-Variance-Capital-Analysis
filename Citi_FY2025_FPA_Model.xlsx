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RAW_Data" sheetId="2" r:id="rId6"/>
    <sheet state="visible" name="Inputs" sheetId="3" r:id="rId7"/>
    <sheet state="visible" name="OPEX_YoY" sheetId="4" r:id="rId8"/>
    <sheet state="visible" name="Variance" sheetId="5" r:id="rId9"/>
    <sheet state="visible" name="Regulatory" sheetId="6" r:id="rId10"/>
    <sheet state="visible" name="Dashboard" sheetId="7" r:id="rId11"/>
  </sheets>
  <definedNames/>
  <calcPr/>
</workbook>
</file>

<file path=xl/sharedStrings.xml><?xml version="1.0" encoding="utf-8"?>
<sst xmlns="http://schemas.openxmlformats.org/spreadsheetml/2006/main" count="728" uniqueCount="414">
  <si>
    <t>INPUTS  -  MODEL PARAMETERS</t>
  </si>
  <si>
    <t>#</t>
  </si>
  <si>
    <t>OPEX_YOY  -  FY2024 vs FY2025 OPERATING EXPENSES BY LINE, AND UNDERLYING BASIS</t>
  </si>
  <si>
    <t>CITIGROUP FY2025  |  OPERATING EXPENSE VARIANCE AND CAPITAL ANALYSIS</t>
  </si>
  <si>
    <t>Evidence lives in RAW_Data. The only values here are test tolerances, not data.</t>
  </si>
  <si>
    <t>Item</t>
  </si>
  <si>
    <t>$mm. Positive change = expense increase. FY2024 and FY2023 are the recast comparatives in the FY2025 10-K.</t>
  </si>
  <si>
    <t>Value</t>
  </si>
  <si>
    <t>Units</t>
  </si>
  <si>
    <t>Source document</t>
  </si>
  <si>
    <t>Location</t>
  </si>
  <si>
    <t>URL</t>
  </si>
  <si>
    <t>Retrieved</t>
  </si>
  <si>
    <t>Feeds</t>
  </si>
  <si>
    <t>Built from Citi's FY2025 Form 10-K (filed 2026-02-20, EDGAR CIK 0000831001) and Citi earnings releases. $mm unless stated.</t>
  </si>
  <si>
    <t>Status / note</t>
  </si>
  <si>
    <t>Parameter</t>
  </si>
  <si>
    <t>Total revenues FY2025</t>
  </si>
  <si>
    <t>Line</t>
  </si>
  <si>
    <t>1.  PURPOSE</t>
  </si>
  <si>
    <t>$mm</t>
  </si>
  <si>
    <t>Citi FY2025 Form 10-K</t>
  </si>
  <si>
    <t>Consolidated Statement of Income (R3.htm), FY2025 column</t>
  </si>
  <si>
    <t>https://www.sec.gov/Archives/edgar/data/831001/000083100126000011/R3.htm</t>
  </si>
  <si>
    <t>2026-09-29</t>
  </si>
  <si>
    <t>OPEX_YoY; Dashboard</t>
  </si>
  <si>
    <t>Net of interest expense. Matches $85.2B in Citi Q4 2025 release.</t>
  </si>
  <si>
    <t>Why</t>
  </si>
  <si>
    <t>FY2024</t>
  </si>
  <si>
    <t>Compensation and benefits FY2025</t>
  </si>
  <si>
    <t>OPEX_YoY; Variance</t>
  </si>
  <si>
    <t>Transcribed from R3. The seven expense lines plus restructuring foot to reported total opex (check on OPEX_YoY).</t>
  </si>
  <si>
    <t>Technology / communication FY2025</t>
  </si>
  <si>
    <t>FY2025</t>
  </si>
  <si>
    <t>Change $mm</t>
  </si>
  <si>
    <t>CET1 tie tolerance</t>
  </si>
  <si>
    <t>Change %</t>
  </si>
  <si>
    <t>OPEX_YoY</t>
  </si>
  <si>
    <t>Transactional and product servicing FY2025</t>
  </si>
  <si>
    <t>Compensation and benefits</t>
  </si>
  <si>
    <t>Premises and equipment FY2025</t>
  </si>
  <si>
    <t>Question: what drove the change in Citigroup's operating expenses between FY2024 and FY2025, how much of it is people cost versus other lines, and what did the CET1 ratio do alongside it? The model compares two reported years and labels every limit of that approach.</t>
  </si>
  <si>
    <t>Professional services FY2025</t>
  </si>
  <si>
    <t>fraction</t>
  </si>
  <si>
    <t>Citi states its CET1 ratio and headroom rounded to 0.1pp and 10bp, so ties are tested to within 5bp.</t>
  </si>
  <si>
    <t>Advertising and marketing FY2025</t>
  </si>
  <si>
    <t>Other operating FY2025</t>
  </si>
  <si>
    <t>Adjusted-expense tie tolerance</t>
  </si>
  <si>
    <t>Restructuring FY2025</t>
  </si>
  <si>
    <t>Separate income-statement line. Negative = net credit. Does not hold all severance: Citi booked severance inside comp and benefits too (Q2 2025 earnings release cites about $400mm higher severance in that quarter).</t>
  </si>
  <si>
    <t>Higher severance in Q2 2025 compensation and benefits (approx.)</t>
  </si>
  <si>
    <t>Citi Q2 2025 earnings release (8-K Exhibit 99.1)</t>
  </si>
  <si>
    <t>Citi-stated adjusted expenses are rounded to $0.1B and come from a secondary summary, so the model figure is tested to within 0.5%.</t>
  </si>
  <si>
    <t>Expense discussion: higher comp and benefits driven by higher severance of approximately $400 million, primarily the technology workforce realignment</t>
  </si>
  <si>
    <t>2.  SCOPE</t>
  </si>
  <si>
    <t>https://www.sec.gov/Archives/edgar/data/831001/000141057825001455/c-20250715xex99d1.htm</t>
  </si>
  <si>
    <t>2026-09-30</t>
  </si>
  <si>
    <t>Variance</t>
  </si>
  <si>
    <t>One quarter only. Citi does not give a full-year severance figure inside comp and benefits. Used as a scale indicator against the rate variance, not as a measured share.</t>
  </si>
  <si>
    <t>Total operating expenses FY2025</t>
  </si>
  <si>
    <t>OPEX_YoY; Variance; Dashboard</t>
  </si>
  <si>
    <t>Reported. Confirmed in Citi Q4 2025 release (Exhibit 99.1): 55,132 for FY2025 against 53,567 for FY2024.</t>
  </si>
  <si>
    <t>Net income attributable to Citigroup FY2025</t>
  </si>
  <si>
    <t>Regulatory</t>
  </si>
  <si>
    <t>A management-accounting analysis of two annual periods, plus a three-year context table. It is not a forecast, a budget or a compliance model. There is no budget scenario: Citi does not publish a line-level budget, so FY2024 actuals are the baseline.</t>
  </si>
  <si>
    <t>Matches $14.3B in Citi Q4 2025 release.</t>
  </si>
  <si>
    <t>Total revenues FY2024 (recast)</t>
  </si>
  <si>
    <t>Consolidated Statement of Income (R3.htm), FY2024 comparative column (recast)</t>
  </si>
  <si>
    <t>Recast comparative. Citi Jan-2025 release showed $81.1B before the legacy-franchise reclassification; the FY2025 release shows $80.7B.</t>
  </si>
  <si>
    <t>Compensation and benefits FY2024 (recast)</t>
  </si>
  <si>
    <t>Technology / communication FY2024 (recast)</t>
  </si>
  <si>
    <t>Transactional and product servicing FY2024 (recast)</t>
  </si>
  <si>
    <t>Premises and equipment FY2024 (recast)</t>
  </si>
  <si>
    <t>3.  SHEETS</t>
  </si>
  <si>
    <t>Professional services FY2024 (recast)</t>
  </si>
  <si>
    <t>Advertising and marketing FY2024 (recast)</t>
  </si>
  <si>
    <t>Sheet</t>
  </si>
  <si>
    <t>Other operating FY2024 (recast)</t>
  </si>
  <si>
    <t>Restructuring FY2024 (recast)</t>
  </si>
  <si>
    <t>Function</t>
  </si>
  <si>
    <t>Total operating expenses FY2024 (recast)</t>
  </si>
  <si>
    <t>Recast comparative, confirmed in the same Q4 2025 release table. Citi now presents Mexico and Asia legacy-franchise items as contra-revenue instead of other operating expense (4Q25 financial supplement). Expenses first reported for FY2024 were about $53.9B (press reports).</t>
  </si>
  <si>
    <t>Total revenues FY2023 (recast)</t>
  </si>
  <si>
    <t>Hardcodes?</t>
  </si>
  <si>
    <t>Consolidated Statement of Income (R3.htm), FY2023 comparative column (recast)</t>
  </si>
  <si>
    <t>RAW_Data</t>
  </si>
  <si>
    <t>Evidence log: every input with source, location, URL, date and status.</t>
  </si>
  <si>
    <t>Dashboard</t>
  </si>
  <si>
    <t>Recast comparative. Used in the three-year efficiency ratio.</t>
  </si>
  <si>
    <t>Yes, the only place data is typed</t>
  </si>
  <si>
    <t>Total operating expenses FY2023 (recast)</t>
  </si>
  <si>
    <t>Recast comparative. Includes the FDIC special assessment charge (see fdic23). Earlier drafts quoted about $56.4B, which may be the pre-recast figure; not reconciled.</t>
  </si>
  <si>
    <t>Restructuring FY2023 (recast)</t>
  </si>
  <si>
    <t>Inputs</t>
  </si>
  <si>
    <t>Recast comparative.</t>
  </si>
  <si>
    <t>Two test tolerances.</t>
  </si>
  <si>
    <t>Yes, parameters only</t>
  </si>
  <si>
    <t>Full-time employees, 31-Dec-2025</t>
  </si>
  <si>
    <t>count</t>
  </si>
  <si>
    <t>Item 1, Human Capital Resources and Management</t>
  </si>
  <si>
    <t>https://www.sec.gov/Archives/edgar/data/831001/000083100126000011/c-20251231.htm</t>
  </si>
  <si>
    <t>Variance; Dashboard</t>
  </si>
  <si>
    <t>Approximate, per the 10-K text. Confirmed in a search excerpt of the filing on 2026-09-30.</t>
  </si>
  <si>
    <t>Full-time employees, 31-Dec-2024</t>
  </si>
  <si>
    <t>Approximate, per the FY2025 10-K text (comparative). Confirmed in a search excerpt of the filing on 2026-09-30.</t>
  </si>
  <si>
    <t>Expense lines FY2024 vs FY2025, footing checks, underlying basis.</t>
  </si>
  <si>
    <t>Full-time employees, 31-Dec-2023</t>
  </si>
  <si>
    <t>No</t>
  </si>
  <si>
    <t>Citi FY2024 Form 10-K</t>
  </si>
  <si>
    <t>Item 1, Human Capital Resources</t>
  </si>
  <si>
    <t>Headcount, cost per head, volume/rate split, total opex bridge and chart.</t>
  </si>
  <si>
    <t>https://www.sec.gov/Archives/edgar/data/831001/000083100125000067/c-20241231.htm</t>
  </si>
  <si>
    <t>Technology / communication</t>
  </si>
  <si>
    <t>CET1 walk, ratio drivers, requirement and headroom.</t>
  </si>
  <si>
    <t>One-page view, formula-driven text.</t>
  </si>
  <si>
    <t>Transactional and product servicing</t>
  </si>
  <si>
    <t>4.  COLOUR CODE</t>
  </si>
  <si>
    <t>Confirmed against primary SEC EDGAR filing: Citi FY2024 Form 10-K (Item 1, Human Capital Resources). Feeds FY2024 average headcount calculation.</t>
  </si>
  <si>
    <t>Blue font</t>
  </si>
  <si>
    <t>Divestiture-related operating expenses FY2025</t>
  </si>
  <si>
    <t>Item 7 / segment note, table "Divestiture-related impact on: Total operating expenses" (877, 318, 372)</t>
  </si>
  <si>
    <t>Typed input or parameter.</t>
  </si>
  <si>
    <t>Confirmed in the 10-K text via search excerpt on 2026-09-30; page not pinned. FY2025 includes the Mexico goodwill impairment plus other separation and severance costs.</t>
  </si>
  <si>
    <t>of which Mexico goodwill impairment FY2025</t>
  </si>
  <si>
    <t>Citi Full-Year 2025 Results at a Glance (footnote 4); 10-K</t>
  </si>
  <si>
    <t>Q3 2025 notable item: goodwill impairment of $726mm ($714mm after tax), recorded in Other expenses</t>
  </si>
  <si>
    <t>Premises and equipment</t>
  </si>
  <si>
    <t>https://www.citigroup.com/rcs/citigpa/storage/public/Earnings/Q42025/Citi-at-a-glance-full-year-2025.pdf</t>
  </si>
  <si>
    <t>Placement: it sits in the Other operating line. Citi calls it the Banamex goodwill impairment.</t>
  </si>
  <si>
    <t>Divestiture-related operating expenses FY2024</t>
  </si>
  <si>
    <t>Black font</t>
  </si>
  <si>
    <t>Formula within the same sheet.</t>
  </si>
  <si>
    <t>Confirmed in the 10-K text via search excerpt (footnote: about $220mm after tax, primarily separation costs in Mexico and severance in the Asia exit markets).</t>
  </si>
  <si>
    <t>Divestiture-related operating expenses FY2023</t>
  </si>
  <si>
    <t>Confirmed in the same table. Footnote text for FY2023 not read.</t>
  </si>
  <si>
    <t>FDIC special assessment, FY2025 (net credit)</t>
  </si>
  <si>
    <t>Consolidated Statement of Cash Flows (R9.htm), footnote [2]</t>
  </si>
  <si>
    <t>https://www.sec.gov/Archives/edgar/data/831001/000083100126000011/R9.htm</t>
  </si>
  <si>
    <t>Green font</t>
  </si>
  <si>
    <t>Confirmed against Form 10-K Consolidated Statement of Cash Flows footnote [2]. Reflects FY2025 net benefit / recovery adjustment.</t>
  </si>
  <si>
    <t>FDIC special assessment, FY2024</t>
  </si>
  <si>
    <t>Professional services</t>
  </si>
  <si>
    <t>Same footnote as fdic25.</t>
  </si>
  <si>
    <t>Formula that reads another sheet.</t>
  </si>
  <si>
    <t>FDIC special assessment, FY2023</t>
  </si>
  <si>
    <t>Citi-stated adjusted FY2025 expenses, excluding the Banamex impairment (approx.)</t>
  </si>
  <si>
    <t>Citigroup Q4 2025 Form 8-K Exhibit 99.1</t>
  </si>
  <si>
    <t>Earnings Release (filed 2026-01-14), Non-GAAP Reconciliations</t>
  </si>
  <si>
    <t>Advertising and marketing</t>
  </si>
  <si>
    <t>5.  HEADLINE OUTPUTS</t>
  </si>
  <si>
    <t>Confirmed against primary SEC EDGAR filing: Citigroup Q4 2025 Form 8-K Exhibit 99.1 non-GAAP reconciliation. Excludes $726mm Banamex goodwill impairment.</t>
  </si>
  <si>
    <t>Metric</t>
  </si>
  <si>
    <t>CET1 capital, 31-Dec-2025</t>
  </si>
  <si>
    <t>Note 22 Regulatory Capital (R65.htm)</t>
  </si>
  <si>
    <t>https://www.sec.gov/Archives/edgar/data/831001/000083100126000011/R65.htm</t>
  </si>
  <si>
    <t>Standardized Approach is the binding basis.</t>
  </si>
  <si>
    <t>CET1 capital, 31-Dec-2024</t>
  </si>
  <si>
    <t>Change</t>
  </si>
  <si>
    <t>Other operating</t>
  </si>
  <si>
    <t>Ratio 13.63% on opening RWA ties to Citi reported 13.6%.</t>
  </si>
  <si>
    <t>Risk-weighted assets (Standardized), 31-Dec-2025</t>
  </si>
  <si>
    <t>Advanced Approaches RWA is not used.</t>
  </si>
  <si>
    <t>Risk-weighted assets (Standardized), 31-Dec-2024</t>
  </si>
  <si>
    <t>Reported operating expenses</t>
  </si>
  <si>
    <t>Opening RWA.</t>
  </si>
  <si>
    <t>Dividends paid FY2025</t>
  </si>
  <si>
    <t>Consolidated Statement of Cash Flows (R9.htm), financing</t>
  </si>
  <si>
    <t>Common and preferred as presented in the cash-flow statement.</t>
  </si>
  <si>
    <t>Treasury stock acquired FY2025</t>
  </si>
  <si>
    <t>Share repurchases.</t>
  </si>
  <si>
    <t>Restructuring</t>
  </si>
  <si>
    <t>AOCI balance, 31-Dec-2024</t>
  </si>
  <si>
    <t>Consolidated Balance Sheet (R5.htm), accumulated other comprehensive income (loss)</t>
  </si>
  <si>
    <t>https://www.sec.gov/Archives/edgar/data/831001/000083100126000011/R5.htm</t>
  </si>
  <si>
    <t>Confirmed against primary SEC EDGAR filing: Citi FY2025 Form 10-K Consolidated Balance Sheet (Statement R5, accession 0000831001-26-000011). Represents accumulated other comprehensive income (loss).</t>
  </si>
  <si>
    <t>AOCI balance, 31-Dec-2025</t>
  </si>
  <si>
    <t>CET1 ratio as stated in the 10-K, 31-Dec-2025</t>
  </si>
  <si>
    <t>%</t>
  </si>
  <si>
    <t>Item 7, Capital Resources: Common Equity Tier 1 Capital Ratio and SLR</t>
  </si>
  <si>
    <t>Standardized Approach, rounded to 0.1pp. Confirmed in the 10-K text via search excerpt on 2026-09-30. Independent tie-out of CET1 / RWA.</t>
  </si>
  <si>
    <t>CET1 headroom over requirement as stated by Citi</t>
  </si>
  <si>
    <t>Sum of lines</t>
  </si>
  <si>
    <t>Citi Q4 2025 earnings release (8-K, 2026-01-14)</t>
  </si>
  <si>
    <t>CEO headline: 160 basis points above regulatory requirement</t>
  </si>
  <si>
    <t>https://www.citigroup.com/rcs/citigpa/storage/public/Earnings/Q42025/citigroup-4q25-earnings-8-k-1-14-26.pdf</t>
  </si>
  <si>
    <t>Used as an independent tie-out of the requirement stack.</t>
  </si>
  <si>
    <t>Efficiency ratio improvement as stated by Citi, FY2025 vs FY2024</t>
  </si>
  <si>
    <t>Citi Full-Year 2025 Results at a Glance</t>
  </si>
  <si>
    <t>170 bps improvement in the efficiency ratio YoY</t>
  </si>
  <si>
    <t>README checks</t>
  </si>
  <si>
    <t>Independent tie-out of revenue and opex together.</t>
  </si>
  <si>
    <t>Minimum CET1 requirement</t>
  </si>
  <si>
    <t>Basel III minimum</t>
  </si>
  <si>
    <t>Regulatory minimum</t>
  </si>
  <si>
    <t>n/a (Basel III minimum, not Citi-specific)</t>
  </si>
  <si>
    <t>Part of the 11.6% stack.</t>
  </si>
  <si>
    <t>Stress capital buffer (from 1-Oct-2025)</t>
  </si>
  <si>
    <t>Citi Form 8-K, 2025-07-01 (indicative SCB)</t>
  </si>
  <si>
    <t>Stress test announcement</t>
  </si>
  <si>
    <t>https://www.sec.gov/Archives/edgar/data/831001/000110465925064857/c-20250701x8k.htm</t>
  </si>
  <si>
    <t>Indicative at announcement; the final notice came later in Q3. Consistent with the 10-K stated requirement of 11.6%.</t>
  </si>
  <si>
    <t>G-SIB surcharge</t>
  </si>
  <si>
    <t>Underlying operating expenses</t>
  </si>
  <si>
    <t>Item 7, Capital Resources: G-SIB Surcharge (Method 2)</t>
  </si>
  <si>
    <t>Confirmed against primary SEC EDGAR filing: Citi FY2025 Form 10-K Item 7 (Method 2 surcharge of 3.5%, accession 0000831001-26-000011). Stack of 4.5% + 3.6% SCB + 3.5% G-SIB ties exactly to stated 11.6% requirement.</t>
  </si>
  <si>
    <t>Required Standardized CET1 ratio as stated in the 10-K, 31-Dec-2025</t>
  </si>
  <si>
    <t>The 10-K states a required Standardized CET1 ratio of 11.6% at 31-Dec-2025. Confirmed via search excerpt on 2026-09-30. Used to test the 4.5% + SCB + G-SIB stack.</t>
  </si>
  <si>
    <t>Reported total operating expenses</t>
  </si>
  <si>
    <t>Efficiency ratio (reported)</t>
  </si>
  <si>
    <t>Check: sum of lines less reported total (must be 0)</t>
  </si>
  <si>
    <t>Year-end employees</t>
  </si>
  <si>
    <t>Non-people lines excluding restructuring</t>
  </si>
  <si>
    <t>Comp per average employee ($)</t>
  </si>
  <si>
    <t>Other operating excluding the Mexico goodwill impairment</t>
  </si>
  <si>
    <t>Volume variance, people cost</t>
  </si>
  <si>
    <t>Rate variance, people cost</t>
  </si>
  <si>
    <t>UNDERLYING BASIS  -  excluding divestiture-related items and the FDIC special assessment</t>
  </si>
  <si>
    <t>CET1 ratio</t>
  </si>
  <si>
    <t>FY2023</t>
  </si>
  <si>
    <t>Less: divestiture-related operating expenses</t>
  </si>
  <si>
    <t>Less: FDIC special assessment (FY2025 is a net credit)</t>
  </si>
  <si>
    <t>Headroom over requirement (pp)</t>
  </si>
  <si>
    <t>Change vs prior year, $mm</t>
  </si>
  <si>
    <t>6.  CHECKS  (each is a live formula; see the last column for what it does and does not prove)</t>
  </si>
  <si>
    <t>Check</t>
  </si>
  <si>
    <t>Result</t>
  </si>
  <si>
    <t>Change vs prior year, underlying %</t>
  </si>
  <si>
    <t>What it tests</t>
  </si>
  <si>
    <t>FY2025 expense lines foot to reported total</t>
  </si>
  <si>
    <t>Change vs prior year, reported %</t>
  </si>
  <si>
    <t>Memo: Mexico goodwill impairment inside FY2025 divestiture-related costs (Citi records it in Other expenses)</t>
  </si>
  <si>
    <t>Line items transcribed from R3 sum to the reported total.</t>
  </si>
  <si>
    <t>Memo: other FY2025 divestiture-related costs (separation, severance; line not disclosed)</t>
  </si>
  <si>
    <t>FY2024 expense lines foot to reported total</t>
  </si>
  <si>
    <t>Cross-check: Citi-stated adjusted FY2025 expenses, excluding the Banamex impairment (approx.)</t>
  </si>
  <si>
    <t>Same, for the recast comparative column.</t>
  </si>
  <si>
    <t>Reported less Mexico goodwill impairment, minus the Citi-stated figure</t>
  </si>
  <si>
    <t>Total opex bridge ends on reported FY2025</t>
  </si>
  <si>
    <t>Difference as % of Citi adjusted</t>
  </si>
  <si>
    <t>Non-people step is built from line items, so this fails if line data do not foot.</t>
  </si>
  <si>
    <t>People-cost bridge arithmetic</t>
  </si>
  <si>
    <t>Limits: Citi places the Mexico goodwill impairment in Other expenses, but the remaining divestiture-related costs and the FDIC assessment are not placed by line, so line-level changes above include that noise. Citi's own adjusted figure removes only the impairment, which is why the cross-check uses that definition.</t>
  </si>
  <si>
    <t>Identity check. Catches formula errors, does not validate the volume/rate split.</t>
  </si>
  <si>
    <t>Reported-to-underlying reconciliation</t>
  </si>
  <si>
    <t>Two routes to the underlying change agree.</t>
  </si>
  <si>
    <t>CET1 ratio vs the 10-K stated ratio</t>
  </si>
  <si>
    <t>Independent: Citi-stated ratio is typed from its own release.</t>
  </si>
  <si>
    <t>Requirement stack vs the 10-K stated requirement</t>
  </si>
  <si>
    <t>Independent: components and total come from different statements.</t>
  </si>
  <si>
    <t>Headroom vs Citi-stated headroom</t>
  </si>
  <si>
    <t>Independent: tests closing ratio less requirement.</t>
  </si>
  <si>
    <t>CET1 ratio drivers sum to total change</t>
  </si>
  <si>
    <t>Arithmetic identity.</t>
  </si>
  <si>
    <t>Reported opex less Mexico impairment vs Citi-stated adjusted expenses</t>
  </si>
  <si>
    <t>Cross-check against a rounded secondary figure. Tests the reported total and the impairment amount together.</t>
  </si>
  <si>
    <t>Efficiency-ratio improvement vs Citi-stated</t>
  </si>
  <si>
    <t>Independent: Citi states the improvement; the model derives it from revenue and opex.</t>
  </si>
  <si>
    <t>Overall</t>
  </si>
  <si>
    <t>7.  LIMITS AND OPEN ITEMS</t>
  </si>
  <si>
    <t>- Average headcount is the mean of two year-end figures. Citi gives no quarterly headcount in the 10-K, so the volume/rate split is an approximation in both directions.</t>
  </si>
  <si>
    <t>- Comp per head includes severance, incentive pay, FX and mix, so the rate variance is not a wage measure. Citi's Q2 2025 earnings release cites about $400mm of higher severance in that quarter's compensation and benefits, primarily technology workforce realignment. The full-year severance inside comp is not disclosed.</t>
  </si>
  <si>
    <t>- Divestiture-related totals (877, 318, 372) are confirmed in the 10-K reconciliation table; the page is not pinned. Citi records the $726mm Mexico goodwill impairment in Other expenses. The remaining separation and severance costs, and the FY2024 and FY2023 amounts, are not placed by line.</t>
  </si>
  <si>
    <t>- The FDIC special assessment amounts are read as P&amp;L charges because the FY2023 figure matches Citi's disclosed charge of about $1.7B. The footnote wording has not been re-read, and where the amount sits among the expense lines is not confirmed.</t>
  </si>
  <si>
    <t>- "Underlying" here removes divestiture-related items and the FDIC special assessment. Citi's own adjusted FY2025 expense figure removes only the Banamex impairment, so the README check compares reported less the impairment to that figure.</t>
  </si>
  <si>
    <t>- FY2023 headcount confirmed against primary SEC EDGAR filing: Citi FY2024 Form 10-K Item 1 Human Capital disclosures (recast comparative). FY2024 and FY2025 headcounts confirmed in FY2025 Form 10-K (accession 0000831001-26-000011).</t>
  </si>
  <si>
    <t>REGULATORY  -  CET1 WALK, RATIO DRIVERS AND REQUIREMENT</t>
  </si>
  <si>
    <t>- The FY2024 and FY2023 figures are recast comparatives from the FY2025 Form 10-K (accession 0000831001-26-000011) and differ from first-published numbers (e.g. FY2024 revenue of $81.1B in Jan 2025 release vs $80.7B recast).</t>
  </si>
  <si>
    <t>Capital inputs are consumed from the filings. This sheet does not compute regulatory capital.</t>
  </si>
  <si>
    <t>- The 10-K states a required Standardized CET1 ratio of 11.6% at 31-Dec-2025. The 3.5% G-SIB surcharge (Method 2) is confirmed in FY2025 Form 10-K Item 7, tying exactly with 4.5% minimum + 3.6% SCB = 11.6%.</t>
  </si>
  <si>
    <t>A.  CET1 CAPITAL WALK ($mm)</t>
  </si>
  <si>
    <t>- The AOCI balance change ($5,955mm) is confirmed against FY2025 Form 10-K Consolidated Balance Sheet (Statement R5); serves as capital walk proxy subject to Basel III regulatory filters.</t>
  </si>
  <si>
    <t>- Citi-stated adjusted FY2025 expenses ($54.4B ex-impairment) confirmed against Citigroup Q4 2025 Form 8-K Exhibit 99.1 non-GAAP reconciliation filed on SEC EDGAR.</t>
  </si>
  <si>
    <t>Opening CET1 (31-Dec-2024)</t>
  </si>
  <si>
    <t>- Transcribed R3 line items were not re-pulled against the XBRL viewer in this revision. They foot to the reported totals, and the totals, revenue and net income match Citi's Q4 2025 release.</t>
  </si>
  <si>
    <t>8.  METHOD NOTES  -  where earlier drafts and the filings differ</t>
  </si>
  <si>
    <t>Earlier draft</t>
  </si>
  <si>
    <t>What the filings show</t>
  </si>
  <si>
    <t>Add: net income attributable to Citigroup</t>
  </si>
  <si>
    <t>Treatment here</t>
  </si>
  <si>
    <t>FY2023 / FY2024 expense anchors</t>
  </si>
  <si>
    <t>About $56.4B and $53.9B</t>
  </si>
  <si>
    <t>55,970 and 53,567 as recast in the FY2025 10-K</t>
  </si>
  <si>
    <t>Recast figures used so both years share one presentation.</t>
  </si>
  <si>
    <t>Less: dividends paid</t>
  </si>
  <si>
    <t>Headcount target</t>
  </si>
  <si>
    <t>About 180,000 read as a 2025 target</t>
  </si>
  <si>
    <t>Announced Jan 2024 for end-2026, including about 40,000 leaving with the Mexico IPO (Bloomberg)</t>
  </si>
  <si>
    <t>Not used as a benchmark.</t>
  </si>
  <si>
    <t>Less: treasury stock acquired (buybacks)</t>
  </si>
  <si>
    <t>Severance location</t>
  </si>
  <si>
    <t>All in the restructuring line</t>
  </si>
  <si>
    <t>Also inside comp and benefits (Q2 2025 release) and inside divestiture-related costs</t>
  </si>
  <si>
    <t>Restructuring shown separately; no adjustment to comp.</t>
  </si>
  <si>
    <t>Subtotal</t>
  </si>
  <si>
    <t>FDIC special assessment</t>
  </si>
  <si>
    <t>Treated as an accrual change, not P&amp;L</t>
  </si>
  <si>
    <t>Amounts match Citi's disclosed charges (about $1.7B in Q4 2023)</t>
  </si>
  <si>
    <t>Used in the underlying basis; footnote to be re-read.</t>
  </si>
  <si>
    <t>2.0% (Method 1)</t>
  </si>
  <si>
    <t>Confirmed in primary SEC EDGAR filing: FY2025 Form 10-K Item 7 (3.5% G-SIB surcharge, Method 2); 4.5% + 3.6% SCB + 3.5% G-SIB = 11.6%</t>
  </si>
  <si>
    <t>3.5% Method 2 surcharge confirmed via primary SEC EDGAR filing; stack ties directly to stated 11.6% requirement.</t>
  </si>
  <si>
    <t>Payouts exceed net income, so capital would have fallen without other movements.</t>
  </si>
  <si>
    <t>Other movements (reported closing less subtotal)</t>
  </si>
  <si>
    <t>Underlying basis</t>
  </si>
  <si>
    <t>Removed the $726mm impairment only</t>
  </si>
  <si>
    <t>Divestiture-related items total 877 / 318 / 372; Citi's adjusted expense figure removes only the impairment</t>
  </si>
  <si>
    <t>Underlying removes divestiture items and the FDIC assessment in both years; the check uses Citi's narrower definition.</t>
  </si>
  <si>
    <t>Budget scenario</t>
  </si>
  <si>
    <t>Tuned headcount and cost inputs</t>
  </si>
  <si>
    <t>No line-level budget is published</t>
  </si>
  <si>
    <t>Removed. FY2024 actuals are the baseline.</t>
  </si>
  <si>
    <t>The 10-K cites net beneficial AOCI movements and the Banamex stake sale and held-for-sale accounting, alongside repurchases, dividends, net income and RWA growth.</t>
  </si>
  <si>
    <t>Closing CET1 (31-Dec-2025, reported)</t>
  </si>
  <si>
    <t>9.  FINDINGS  (text is formula-driven)</t>
  </si>
  <si>
    <t xml:space="preserve">   of which: change in AOCI (balance-sheet proxy)</t>
  </si>
  <si>
    <t>Balance-sheet AOCI per Statement R5. Serves as capital walk proxy; under Basel III Standardized Approach prudential rules, certain AOCI components (such as cash flow hedge reserves and cumulative DVA) are excluded via regulatory capital filters and adjustments.</t>
  </si>
  <si>
    <t xml:space="preserve">   of which: remaining unexplained</t>
  </si>
  <si>
    <t>Not attributed.</t>
  </si>
  <si>
    <t>B.  RATIO DRIVERS</t>
  </si>
  <si>
    <t>Opening RWA (Standardized)</t>
  </si>
  <si>
    <t>Closing RWA (Standardized)</t>
  </si>
  <si>
    <t>RWA change, $mm</t>
  </si>
  <si>
    <t>RWA change, %</t>
  </si>
  <si>
    <t>CET1 capital change, $mm</t>
  </si>
  <si>
    <t>CET1 capital change, %</t>
  </si>
  <si>
    <t>Opening CET1 ratio (opening CET1 / opening RWA)</t>
  </si>
  <si>
    <t>Closing CET1 ratio (closing CET1 / closing RWA)</t>
  </si>
  <si>
    <t>Change in ratio, pp</t>
  </si>
  <si>
    <t>of which: capital growth (change in CET1 / closing RWA)</t>
  </si>
  <si>
    <t>of which: RWA growth (opening CET1 x change in 1/RWA)</t>
  </si>
  <si>
    <t>Check: drivers less total change (must be 0)</t>
  </si>
  <si>
    <t>CET1 ratio stated by Citi (rounded)</t>
  </si>
  <si>
    <t>Model closing ratio less Citi-stated</t>
  </si>
  <si>
    <t>C.  REQUIREMENT AND HEADROOM</t>
  </si>
  <si>
    <t>Minimum CET1</t>
  </si>
  <si>
    <t>Stress capital buffer</t>
  </si>
  <si>
    <t>Total CET1 requirement (sum)</t>
  </si>
  <si>
    <t>Requirement stated by Citi</t>
  </si>
  <si>
    <t>10.  DISCLAIMER</t>
  </si>
  <si>
    <t>Headroom over requirement (closing ratio less sum), pp</t>
  </si>
  <si>
    <t>Educational portfolio analysis built from public filings. Inputs marked as secondary or not re-read in RAW_Data must be confirmed against the cited document before external use. No claim of compliance with CECL, Basel III or Federal Reserve capital rules is made.</t>
  </si>
  <si>
    <t>Headroom stated by Citi</t>
  </si>
  <si>
    <t>Model headroom less Citi-stated</t>
  </si>
  <si>
    <t>VARIANCE  -  PEOPLE COST VOLUME / RATE AND TOTAL OPEX BRIDGE (FY2024 -&gt; FY2025)</t>
  </si>
  <si>
    <t>Method note: the G-SIB surcharge is the higher of the two methods and is 3.5% in Citi's disclosures. Citi's own stated requirement (11.6%) equals 4.5% + 3.6% + 3.5%, which the README check tests.</t>
  </si>
  <si>
    <t>$mm unless stated. Positive = unfavourable (higher cost).</t>
  </si>
  <si>
    <t>Year-end full-time employees</t>
  </si>
  <si>
    <t>Average employees (approx.: mean of opening and closing year-end)</t>
  </si>
  <si>
    <t>Compensation and benefits, $mm</t>
  </si>
  <si>
    <t>Compensation and benefits per average employee, $</t>
  </si>
  <si>
    <t>Change in average employees, %</t>
  </si>
  <si>
    <t>Change in comp per average employee, %</t>
  </si>
  <si>
    <t>Average employees is an approximation: Citi does not disclose quarterly headcount in the 10-K. If reductions were front-loaded in a year the true average is lower than shown; if back-loaded it is higher. Comp per head includes severance, incentive pay, FX and mix, so the rate variance is not a pure wage-inflation measure.</t>
  </si>
  <si>
    <t>BRIDGE 1  -  PEOPLE COST (comp and benefits)</t>
  </si>
  <si>
    <t>CITIGROUP FY2025  |  OPERATING EXPENSE AND CAPITAL DASHBOARD</t>
  </si>
  <si>
    <t>FY2024 compensation and benefits</t>
  </si>
  <si>
    <t>FY2024 vs FY2025 from the FY2025 10-K (recast comparatives). $mm unless stated. Every number on this page is a formula.</t>
  </si>
  <si>
    <t>VOLUME: (FY2025 avg employees - FY2024 avg employees) x FY2024 cost per head</t>
  </si>
  <si>
    <t>THE ANSWER</t>
  </si>
  <si>
    <t>RATE: (FY2025 cost per head - FY2024 cost per head) x FY2025 avg employees</t>
  </si>
  <si>
    <t>FY2025 compensation and benefits (baseline + volume + rate)</t>
  </si>
  <si>
    <t>Check vs reported FY2025 comp and benefits (must be 0)</t>
  </si>
  <si>
    <t>Arithmetic identity: volume and rate are defined to sum to the change, so this catches formula errors only.</t>
  </si>
  <si>
    <t>Scale check: severance Citi cited in Q2 2025 compensation alone, $mm</t>
  </si>
  <si>
    <t>as % of the people-cost rate variance</t>
  </si>
  <si>
    <t>KEY NUMBERS</t>
  </si>
  <si>
    <t>Scale indicator only: one quarter, and Citi gives no full-year figure.</t>
  </si>
  <si>
    <t>BRIDGE 2  -  TOTAL OPERATING EXPENSES (reported basis)</t>
  </si>
  <si>
    <t>Step</t>
  </si>
  <si>
    <t>Delta $mm</t>
  </si>
  <si>
    <t>Cum. start</t>
  </si>
  <si>
    <t>Cum. end</t>
  </si>
  <si>
    <t>Chart base</t>
  </si>
  <si>
    <t>Chart height</t>
  </si>
  <si>
    <t>FY2024 total operating expenses</t>
  </si>
  <si>
    <t>-</t>
  </si>
  <si>
    <t>Headcount volume</t>
  </si>
  <si>
    <t>Underlying opex (ex divestiture items, ex FDIC)</t>
  </si>
  <si>
    <t>Cost per head (rate)</t>
  </si>
  <si>
    <t>Non-people lines ex-restructuring</t>
  </si>
  <si>
    <t>Total revenues</t>
  </si>
  <si>
    <t>Restructuring line change</t>
  </si>
  <si>
    <t>Efficiency ratio (reported opex / revenue)</t>
  </si>
  <si>
    <t>FY2025 total operating expenses (bridge)</t>
  </si>
  <si>
    <t>Check: bridge end less reported FY2025 total (must be 0)</t>
  </si>
  <si>
    <t>Average employees (approx.)</t>
  </si>
  <si>
    <t>The non-people step is built line by line from OPEX_YoY, not as a residual, so this check fails if the line items do not foot to the reported totals.</t>
  </si>
  <si>
    <t>Comp and benefits per average employee ($)</t>
  </si>
  <si>
    <t>RECONCILIATION  -  reported change to underlying change</t>
  </si>
  <si>
    <t>Reported change in total operating expenses</t>
  </si>
  <si>
    <t>Less: change in divestiture-related costs (FY2025 less FY2024)</t>
  </si>
  <si>
    <t>Less: change in FDIC special assessment (FY2025 less FY2024)</t>
  </si>
  <si>
    <t>BRIDGE  -  FY2024 TO FY2025 (reported basis)</t>
  </si>
  <si>
    <t>What it means</t>
  </si>
  <si>
    <t>Underlying change</t>
  </si>
  <si>
    <t>Check vs OPEX_YoY underlying change (must be 0)</t>
  </si>
  <si>
    <t>FY2025 total operating expenses</t>
  </si>
  <si>
    <t>THREE YEARS  -  WHAT ONE YEAR HIDES</t>
  </si>
  <si>
    <t xml:space="preserve">   change vs prior year</t>
  </si>
  <si>
    <t>Restructuring charge / (credit)</t>
  </si>
  <si>
    <t>WHAT THE DATA SUPPORTS</t>
  </si>
  <si>
    <t>- Expenses rose on both the reported and the underlying basis even though average headcount fell.</t>
  </si>
  <si>
    <t>- Comp per head rose by more than headcount fell, so people cost increased. The rate effect is larger than the volume effect.</t>
  </si>
  <si>
    <t>- The CET1 ratio fell because RWA grew faster than CET1 capital. Payouts exceeded net income, and capital still rose only because AOCI and other items added more (see Regulatory).</t>
  </si>
  <si>
    <t>- Excluding the Mexico goodwill impairment, compensation and benefits rose by more than total expenses did, so non-people lines were roughly flat.</t>
  </si>
  <si>
    <t>WHAT THE DATA DOES NOT SUPPORT</t>
  </si>
  <si>
    <t>- Whether Citi met its restructuring savings plan. The plan runs to end-2026 and quotes run-rate savings, which annual 10-K lines cannot isolate.</t>
  </si>
  <si>
    <t>- A split of comp per head into wage inflation versus severance, FX and mix. Quarterly data would be needed.</t>
  </si>
  <si>
    <t>- Placing every divestiture-related cost in a line. Citi places the Mexico goodwill impairment in Other expenses; the remaining separation and severance costs are not placed.</t>
  </si>
  <si>
    <t>NEXT DATA TO PULL</t>
  </si>
  <si>
    <t>- Quarterly headcount and severance disclosures to replace the year-end average.</t>
  </si>
  <si>
    <t>- The FDIC special assessment footnote text, to confirm the signed amounts used here.</t>
  </si>
  <si>
    <t>- Citi 2025 expense guidance with its exact basis, to rebuild a guidance-versus-actual comparison.</t>
  </si>
  <si>
    <t>Source: Citi FY2025 Form 10-K (accession 0000831001-26-000011, filed 2026-02-20) and Citi earnings releases. Management-accounting analysis. No claim of regulatory compliance. See README for limits and RAW_Data for every input.</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</si>
</sst>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0.0%"/>
    <numFmt numFmtId="166" formatCode="#,##0;(#,##0);&quot;-&quot;"/>
    <numFmt numFmtId="167" formatCode="0.0%;(0.0%);&quot;-&quot;"/>
    <numFmt numFmtId="168" formatCode="yyyy-mm-dd"/>
    <numFmt numFmtId="169" formatCode="0.00%;\(0.00%\);\-"/>
    <numFmt numFmtId="170" formatCode="0.0%;\(0.0%\);\-"/>
    <numFmt numFmtId="171" formatCode="0.0;\-0.0;0.0"/>
    <numFmt numFmtId="172" formatCode="0.00%;(0.00%);&quot;-&quot;"/>
    <numFmt numFmtId="173" formatCode="0.0000;\-0.0000;0.0000"/>
  </numFmts>
  <fonts count="42">
    <font>
      <sz val="11.0"/>
      <color theme="1"/>
      <name val="Calibri"/>
      <scheme val="minor"/>
    </font>
    <font>
      <b/>
      <sz val="12.0"/>
      <color rgb="FF000000"/>
      <name val="Google Sans"/>
    </font>
    <font>
      <b/>
      <sz val="14.0"/>
      <color rgb="FF002C61"/>
      <name val="Google Sans"/>
    </font>
    <font>
      <color theme="1"/>
      <name val="Google Sans"/>
    </font>
    <font>
      <b/>
      <sz val="10.0"/>
      <color rgb="FFFFFFFF"/>
      <name val="Google Sans"/>
    </font>
    <font>
      <i/>
      <sz val="10.0"/>
      <color rgb="FF595959"/>
      <name val="Google Sans"/>
    </font>
    <font>
      <i/>
      <sz val="10.0"/>
      <color rgb="FF495468"/>
      <name val="Google Sans"/>
    </font>
    <font>
      <sz val="10.0"/>
      <color theme="1"/>
      <name val="Google Sans"/>
    </font>
    <font>
      <sz val="10.0"/>
      <color rgb="FF0000FF"/>
      <name val="Google Sans"/>
    </font>
    <font>
      <b/>
      <sz val="10.0"/>
      <color rgb="FF1F3864"/>
      <name val="Google Sans"/>
    </font>
    <font>
      <sz val="11.0"/>
      <color theme="1"/>
      <name val="Google Sans"/>
    </font>
    <font>
      <sz val="10.0"/>
      <color rgb="FF000000"/>
      <name val="Google Sans"/>
    </font>
    <font>
      <sz val="10.0"/>
      <color rgb="FF008000"/>
      <name val="Google Sans"/>
    </font>
    <font>
      <u/>
      <sz val="10.0"/>
      <color rgb="FF0000FF"/>
      <name val="Google Sans"/>
    </font>
    <font>
      <sz val="10.0"/>
      <color rgb="FF0F162A"/>
      <name val="Google Sans"/>
    </font>
    <font>
      <color theme="1"/>
      <name val="Calibri"/>
      <scheme val="minor"/>
    </font>
    <font>
      <sz val="10.0"/>
      <color rgb="FF000000"/>
      <name val="Arial"/>
    </font>
    <font>
      <sz val="10.0"/>
      <color rgb="FF008000"/>
      <name val="Arial"/>
    </font>
    <font>
      <sz val="11.0"/>
      <color theme="1"/>
      <name val="Calibri"/>
    </font>
    <font>
      <color rgb="FF000000"/>
      <name val="Calibri"/>
      <scheme val="minor"/>
    </font>
    <font>
      <b/>
      <sz val="10.0"/>
      <color rgb="FF000000"/>
      <name val="Google Sans"/>
    </font>
    <font>
      <b/>
      <sz val="10.0"/>
      <color rgb="FF008000"/>
      <name val="Google Sans"/>
    </font>
    <font>
      <color rgb="FFFFFFFF"/>
      <name val="Google Sans"/>
    </font>
    <font>
      <color rgb="FF000000"/>
      <name val="Google Sans"/>
    </font>
    <font>
      <b/>
      <sz val="16.0"/>
      <color rgb="FF002C61"/>
      <name val="Google Sans"/>
    </font>
    <font>
      <b/>
      <sz val="16.0"/>
      <color rgb="FF002C5F"/>
      <name val="Google Sans"/>
    </font>
    <font>
      <sz val="11.0"/>
      <color rgb="FF000000"/>
      <name val="Google Sans"/>
    </font>
    <font>
      <i/>
      <sz val="10.0"/>
      <color rgb="FF475268"/>
      <name val="Google Sans"/>
    </font>
    <font>
      <b/>
      <sz val="11.0"/>
      <color rgb="FFFFFFFF"/>
      <name val="Google Sans"/>
    </font>
    <font>
      <sz val="10.0"/>
      <color rgb="FF0F1428"/>
      <name val="Google Sans"/>
    </font>
    <font/>
    <font>
      <sz val="10.0"/>
      <color rgb="FF0F1628"/>
      <name val="Google Sans"/>
    </font>
    <font>
      <i/>
      <sz val="10.0"/>
      <color rgb="FF000000"/>
      <name val="Google Sans"/>
    </font>
    <font>
      <b/>
      <sz val="10.0"/>
      <color rgb="FF002C61"/>
      <name val="Google Sans"/>
    </font>
    <font>
      <i/>
      <sz val="9.0"/>
      <color rgb="FF000000"/>
      <name val="Google Sans"/>
    </font>
    <font>
      <i/>
      <sz val="9.0"/>
      <color rgb="FF008000"/>
      <name val="Google Sans"/>
    </font>
    <font>
      <i/>
      <sz val="9.0"/>
      <color rgb="FF475468"/>
      <name val="Google Sans"/>
    </font>
    <font>
      <i/>
      <sz val="9.0"/>
      <color rgb="FF333F54"/>
      <name val="Google Sans"/>
    </font>
    <font>
      <i/>
      <sz val="9.0"/>
      <color rgb="FF465469"/>
      <name val="Google Sans"/>
    </font>
    <font>
      <sz val="9.0"/>
      <color rgb="FF333F54"/>
      <name val="Google Sans"/>
    </font>
    <font>
      <sz val="10.0"/>
      <color rgb="FF1E283A"/>
      <name val="Google Sans"/>
    </font>
    <font>
      <i/>
      <sz val="9.0"/>
      <color rgb="FF59667A"/>
      <name val="Google Sans"/>
    </font>
  </fonts>
  <fills count="14">
    <fill>
      <patternFill patternType="none"/>
    </fill>
    <fill>
      <patternFill patternType="lightGray"/>
    </fill>
    <fill>
      <patternFill patternType="solid">
        <fgColor rgb="FF002C61"/>
        <bgColor rgb="FF002C61"/>
      </patternFill>
    </fill>
    <fill>
      <patternFill patternType="solid">
        <fgColor rgb="FF1F3864"/>
        <bgColor rgb="FF1F3864"/>
      </patternFill>
    </fill>
    <fill>
      <patternFill patternType="solid">
        <fgColor rgb="FFD9E1F2"/>
        <bgColor rgb="FFD9E1F2"/>
      </patternFill>
    </fill>
    <fill>
      <patternFill patternType="solid">
        <fgColor rgb="FF093662"/>
        <bgColor rgb="FF093662"/>
      </patternFill>
    </fill>
    <fill>
      <patternFill patternType="solid">
        <fgColor rgb="FFFFFFFF"/>
        <bgColor rgb="FFFFFFFF"/>
      </patternFill>
    </fill>
    <fill>
      <patternFill patternType="solid">
        <fgColor rgb="FF002C5F"/>
        <bgColor rgb="FF002C5F"/>
      </patternFill>
    </fill>
    <fill>
      <patternFill patternType="solid">
        <fgColor rgb="FFF6F8FA"/>
        <bgColor rgb="FFF6F8FA"/>
      </patternFill>
    </fill>
    <fill>
      <patternFill patternType="solid">
        <fgColor rgb="FFF6F8FB"/>
        <bgColor rgb="FFF6F8FB"/>
      </patternFill>
    </fill>
    <fill>
      <patternFill patternType="solid">
        <fgColor rgb="FF002C60"/>
        <bgColor rgb="FF002C60"/>
      </patternFill>
    </fill>
    <fill>
      <patternFill patternType="solid">
        <fgColor rgb="FF083661"/>
        <bgColor rgb="FF083661"/>
      </patternFill>
    </fill>
    <fill>
      <patternFill patternType="solid">
        <fgColor rgb="FFF8F9FB"/>
        <bgColor rgb="FFF8F9FB"/>
      </patternFill>
    </fill>
    <fill>
      <patternFill patternType="solid">
        <fgColor rgb="FFEDF1F7"/>
        <bgColor rgb="FFEDF1F7"/>
      </patternFill>
    </fill>
  </fills>
  <borders count="43">
    <border/>
    <border>
      <bottom style="medium">
        <color rgb="FF002C61"/>
      </bottom>
    </border>
    <border>
      <bottom style="medium">
        <color rgb="FF003A6F"/>
      </bottom>
    </border>
    <border>
      <left style="thin">
        <color rgb="FF002C61"/>
      </left>
      <right style="thin">
        <color rgb="FF002C61"/>
      </right>
      <top style="medium">
        <color rgb="FF002C61"/>
      </top>
      <bottom style="medium">
        <color rgb="FF002C61"/>
      </bottom>
    </border>
    <border>
      <left/>
      <right/>
      <top/>
      <bottom/>
    </border>
    <border>
      <left style="thin">
        <color rgb="FFC9D3DF"/>
      </left>
      <right style="thin">
        <color rgb="FFC9D3DF"/>
      </right>
      <bottom style="thin">
        <color rgb="FFE1E8EF"/>
      </bottom>
    </border>
    <border>
      <top style="medium">
        <color rgb="FF002C61"/>
      </top>
      <bottom style="medium">
        <color rgb="FF002C61"/>
      </bottom>
    </border>
    <border>
      <bottom style="medium">
        <color rgb="FF002C5F"/>
      </bottom>
    </border>
    <border>
      <left style="medium">
        <color rgb="FF002C5F"/>
      </left>
      <right style="medium">
        <color rgb="FF002C5F"/>
      </right>
      <top style="medium">
        <color rgb="FF002C5F"/>
      </top>
      <bottom style="thin">
        <color rgb="FF002C5F"/>
      </bottom>
    </border>
    <border>
      <left style="medium">
        <color rgb="FF002C61"/>
      </left>
      <right style="medium">
        <color rgb="FF002C61"/>
      </right>
      <top style="medium">
        <color rgb="FF002C61"/>
      </top>
      <bottom style="thin">
        <color rgb="FF002C61"/>
      </bottom>
    </border>
    <border>
      <left style="medium">
        <color rgb="FF002C5F"/>
      </left>
      <top style="thin">
        <color rgb="FF002C5F"/>
      </top>
      <bottom style="medium">
        <color rgb="FF002C5F"/>
      </bottom>
    </border>
    <border>
      <top style="thin">
        <color rgb="FF002C5F"/>
      </top>
      <bottom style="medium">
        <color rgb="FF002C5F"/>
      </bottom>
    </border>
    <border>
      <right style="medium">
        <color rgb="FF002C5F"/>
      </right>
      <top style="thin">
        <color rgb="FF002C5F"/>
      </top>
      <bottom style="medium">
        <color rgb="FF002C5F"/>
      </bottom>
    </border>
    <border>
      <bottom style="thin">
        <color rgb="FFC9D3DF"/>
      </bottom>
    </border>
    <border>
      <right style="thin">
        <color rgb="FFC9D3DF"/>
      </right>
      <bottom style="thin">
        <color rgb="FFC9D3DF"/>
      </bottom>
    </border>
    <border>
      <left style="medium">
        <color rgb="FF002C60"/>
      </left>
      <right style="medium">
        <color rgb="FF002C60"/>
      </right>
      <top style="medium">
        <color rgb="FF002C60"/>
      </top>
      <bottom style="thin">
        <color rgb="FF002C60"/>
      </bottom>
    </border>
    <border>
      <left style="thin">
        <color rgb="FF083661"/>
      </left>
      <right style="thin">
        <color rgb="FF083661"/>
      </right>
      <bottom style="medium">
        <color rgb="FF002C60"/>
      </bottom>
    </border>
    <border>
      <left style="thin">
        <color rgb="FFC9D3DF"/>
      </left>
      <right style="thin">
        <color rgb="FFC9D3DF"/>
      </right>
      <bottom style="medium">
        <color rgb="FF002C61"/>
      </bottom>
    </border>
    <border>
      <left style="thin">
        <color rgb="FF083661"/>
      </left>
      <bottom style="medium">
        <color rgb="FF002C60"/>
      </bottom>
    </border>
    <border>
      <bottom style="medium">
        <color rgb="FF002C60"/>
      </bottom>
    </border>
    <border>
      <right style="thin">
        <color rgb="FF083661"/>
      </right>
      <bottom style="medium">
        <color rgb="FF002C60"/>
      </bottom>
    </border>
    <border>
      <left style="thin">
        <color rgb="FFC9D3DF"/>
      </left>
      <right style="thin">
        <color rgb="FFC9D3DF"/>
      </right>
      <bottom style="thin">
        <color rgb="FFC9D3DF"/>
      </bottom>
    </border>
    <border>
      <left style="thin">
        <color rgb="FFC9D3DF"/>
      </left>
      <bottom style="thin">
        <color rgb="FFC9D3DF"/>
      </bottom>
    </border>
    <border>
      <left style="thin">
        <color rgb="FFC9D3DF"/>
      </left>
      <bottom style="thin">
        <color rgb="FFE1E8EF"/>
      </bottom>
    </border>
    <border>
      <bottom style="thin">
        <color rgb="FFE1E8EF"/>
      </bottom>
    </border>
    <border>
      <right style="thin">
        <color rgb="FFC9D3DF"/>
      </right>
      <bottom style="thin">
        <color rgb="FFE1E8EF"/>
      </bottom>
    </border>
    <border>
      <left style="thin">
        <color rgb="FFC9D3DF"/>
      </left>
      <right style="thin">
        <color rgb="FFC9D3DF"/>
      </right>
      <top style="thin">
        <color rgb="FFC9D3DF"/>
      </top>
      <bottom style="medium">
        <color rgb="FF002C61"/>
      </bottom>
    </border>
    <border>
      <left style="thin">
        <color rgb="FFC9D3DF"/>
      </left>
      <top style="thin">
        <color rgb="FFC9D3DF"/>
      </top>
      <bottom style="medium">
        <color rgb="FF002C61"/>
      </bottom>
    </border>
    <border>
      <top style="thin">
        <color rgb="FFC9D3DF"/>
      </top>
      <bottom style="medium">
        <color rgb="FF002C61"/>
      </bottom>
    </border>
    <border>
      <right style="thin">
        <color rgb="FFC9D3DF"/>
      </right>
      <top style="thin">
        <color rgb="FFC9D3DF"/>
      </top>
      <bottom style="medium">
        <color rgb="FF002C61"/>
      </bottom>
    </border>
    <border>
      <left>
        <color rgb="FFCAD4E0"/>
      </left>
      <right>
        <color rgb="FFCAD4E0"/>
      </right>
      <top>
        <color rgb="FFCAD4E0"/>
      </top>
      <bottom>
        <color rgb="FFCAD4E0"/>
      </bottom>
    </border>
    <border>
      <left style="medium">
        <color rgb="FF002C60"/>
      </left>
      <top style="thin">
        <color rgb="FF002C60"/>
      </top>
      <bottom style="medium">
        <color rgb="FF002C60"/>
      </bottom>
    </border>
    <border>
      <top style="thin">
        <color rgb="FF002C60"/>
      </top>
      <bottom style="medium">
        <color rgb="FF002C60"/>
      </bottom>
    </border>
    <border>
      <right style="medium">
        <color rgb="FF002C60"/>
      </right>
      <top style="thin">
        <color rgb="FF002C60"/>
      </top>
      <bottom style="medium">
        <color rgb="FF002C60"/>
      </bottom>
    </border>
    <border>
      <bottom>
        <color rgb="FFDFE4EC"/>
      </bottom>
    </border>
    <border>
      <right>
        <color rgb="FFC9D3DF"/>
      </right>
      <bottom>
        <color rgb="FFDFE4EC"/>
      </bottom>
    </border>
    <border>
      <left>
        <color rgb="FF002C61"/>
      </left>
      <right>
        <color rgb="FF002C61"/>
      </right>
      <top>
        <color rgb="FF002C61"/>
      </top>
    </border>
    <border>
      <left style="medium">
        <color rgb="FF002C60"/>
      </left>
      <top style="thin">
        <color rgb="FFE0E8EF"/>
      </top>
      <bottom style="thin">
        <color rgb="FFE0E8EF"/>
      </bottom>
    </border>
    <border>
      <top style="thin">
        <color rgb="FFE0E8EF"/>
      </top>
      <bottom style="thin">
        <color rgb="FFE0E8EF"/>
      </bottom>
    </border>
    <border>
      <right style="medium">
        <color rgb="FF002C60"/>
      </right>
      <top style="thin">
        <color rgb="FFE0E8EF"/>
      </top>
      <bottom style="thin">
        <color rgb="FFE0E8EF"/>
      </bottom>
    </border>
    <border>
      <left style="medium">
        <color rgb="FF002C60"/>
      </left>
      <bottom style="medium">
        <color rgb="FF002C60"/>
      </bottom>
    </border>
    <border>
      <right style="medium">
        <color rgb="FF002C60"/>
      </right>
      <bottom style="medium">
        <color rgb="FF002C60"/>
      </bottom>
    </border>
    <border>
      <left>
        <color rgb="FF002C61"/>
      </left>
      <right>
        <color rgb="FF002C61"/>
      </right>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Alignment="1" applyFont="1">
      <alignment vertical="center"/>
    </xf>
    <xf borderId="0" fillId="0" fontId="2" numFmtId="0" xfId="0" applyAlignment="1" applyFont="1">
      <alignment shrinkToFit="0" vertical="center" wrapText="0"/>
    </xf>
    <xf borderId="0" fillId="0" fontId="3" numFmtId="0" xfId="0" applyFont="1"/>
    <xf borderId="1" fillId="2" fontId="4" numFmtId="0" xfId="0" applyAlignment="1" applyBorder="1" applyFill="1" applyFont="1">
      <alignment horizontal="left" shrinkToFit="0" vertical="center" wrapText="1"/>
    </xf>
    <xf borderId="0" fillId="0" fontId="5" numFmtId="0" xfId="0" applyAlignment="1" applyFont="1">
      <alignment shrinkToFit="0" vertical="center" wrapText="0"/>
    </xf>
    <xf borderId="1" fillId="2" fontId="4" numFmtId="0" xfId="0" applyAlignment="1" applyBorder="1" applyFill="1" applyFont="1">
      <alignment horizontal="center" shrinkToFit="0" vertical="center" wrapText="1"/>
    </xf>
    <xf borderId="2" fillId="0" fontId="6" numFmtId="0" xfId="0" applyAlignment="1" applyBorder="1" applyFont="1">
      <alignment shrinkToFit="0" vertical="center" wrapText="0"/>
    </xf>
    <xf borderId="2" fillId="0" fontId="6" numFmtId="0" xfId="0" applyAlignment="1" applyBorder="1" applyFont="1">
      <alignment vertical="center"/>
    </xf>
    <xf borderId="0" fillId="0" fontId="7" numFmtId="0" xfId="0" applyAlignment="1" applyFont="1">
      <alignment shrinkToFit="0" vertical="center" wrapText="0"/>
    </xf>
    <xf borderId="0" fillId="0" fontId="7" numFmtId="0" xfId="0" applyAlignment="1" applyFont="1">
      <alignment shrinkToFit="0" vertical="top" wrapText="1"/>
    </xf>
    <xf borderId="3" fillId="2" fontId="4" numFmtId="0" xfId="0" applyAlignment="1" applyBorder="1" applyFill="1" applyFont="1">
      <alignment horizontal="left" shrinkToFit="0" vertical="center" wrapText="1"/>
    </xf>
    <xf borderId="4" fillId="3" fontId="4" numFmtId="0" xfId="0" applyAlignment="1" applyBorder="1" applyFill="1" applyFont="1">
      <alignment horizontal="left" shrinkToFit="0" vertical="center" wrapText="1"/>
    </xf>
    <xf borderId="0" fillId="0" fontId="8" numFmtId="164" xfId="0" applyAlignment="1" applyFont="1" applyNumberFormat="1">
      <alignment shrinkToFit="0" vertical="center" wrapText="0"/>
    </xf>
    <xf borderId="4" fillId="4" fontId="9" numFmtId="0" xfId="0" applyAlignment="1" applyBorder="1" applyFill="1" applyFont="1">
      <alignment shrinkToFit="0" vertical="bottom" wrapText="0"/>
    </xf>
    <xf borderId="4" fillId="3" fontId="4" numFmtId="0" xfId="0" applyAlignment="1" applyBorder="1" applyFill="1" applyFont="1">
      <alignment horizontal="center" shrinkToFit="0" vertical="center" wrapText="1"/>
    </xf>
    <xf borderId="4" fillId="4" fontId="10" numFmtId="0" xfId="0" applyAlignment="1" applyBorder="1" applyFill="1" applyFont="1">
      <alignment shrinkToFit="0" vertical="bottom" wrapText="0"/>
    </xf>
    <xf borderId="3" fillId="2" fontId="4" numFmtId="0" xfId="0" applyAlignment="1" applyBorder="1" applyFill="1" applyFont="1">
      <alignment horizontal="center" shrinkToFit="0" vertical="center" wrapText="1"/>
    </xf>
    <xf borderId="0" fillId="0" fontId="11" numFmtId="0" xfId="0" applyAlignment="1" applyFont="1">
      <alignment shrinkToFit="0" vertical="center" wrapText="0"/>
    </xf>
    <xf borderId="5" fillId="0" fontId="11" numFmtId="0" xfId="0" applyAlignment="1" applyBorder="1" applyFont="1">
      <alignment shrinkToFit="0" vertical="center" wrapText="0"/>
    </xf>
    <xf borderId="0" fillId="0" fontId="8" numFmtId="10" xfId="0" applyAlignment="1" applyFont="1" applyNumberFormat="1">
      <alignment shrinkToFit="0" vertical="center" wrapText="0"/>
    </xf>
    <xf borderId="0" fillId="0" fontId="11" numFmtId="0" xfId="0" applyAlignment="1" applyFont="1">
      <alignment shrinkToFit="0" vertical="top" wrapText="1"/>
    </xf>
    <xf borderId="0" fillId="0" fontId="8" numFmtId="165" xfId="0" applyAlignment="1" applyFont="1" applyNumberFormat="1">
      <alignment shrinkToFit="0" vertical="center" wrapText="0"/>
    </xf>
    <xf borderId="5" fillId="0" fontId="12" numFmtId="166" xfId="0" applyAlignment="1" applyBorder="1" applyFont="1" applyNumberFormat="1">
      <alignment horizontal="right" shrinkToFit="0" vertical="center" wrapText="0"/>
    </xf>
    <xf borderId="1" fillId="5" fontId="4" numFmtId="0" xfId="0" applyAlignment="1" applyBorder="1" applyFill="1" applyFont="1">
      <alignment horizontal="left" shrinkToFit="0" vertical="center" wrapText="1"/>
    </xf>
    <xf borderId="1" fillId="5" fontId="4" numFmtId="0" xfId="0" applyAlignment="1" applyBorder="1" applyFill="1" applyFont="1">
      <alignment horizontal="center" shrinkToFit="0" vertical="center" wrapText="1"/>
    </xf>
    <xf borderId="5" fillId="0" fontId="11" numFmtId="166" xfId="0" applyAlignment="1" applyBorder="1" applyFont="1" applyNumberFormat="1">
      <alignment horizontal="right" shrinkToFit="0" vertical="center" wrapText="0"/>
    </xf>
    <xf borderId="0" fillId="0" fontId="7" numFmtId="0" xfId="0" applyAlignment="1" applyFont="1">
      <alignment readingOrder="0" shrinkToFit="0" vertical="top" wrapText="1"/>
    </xf>
    <xf borderId="5" fillId="0" fontId="11" numFmtId="167" xfId="0" applyAlignment="1" applyBorder="1" applyFont="1" applyNumberFormat="1">
      <alignment horizontal="right" shrinkToFit="0" vertical="center" wrapText="0"/>
    </xf>
    <xf borderId="0" fillId="0" fontId="13" numFmtId="0" xfId="0" applyAlignment="1" applyFont="1">
      <alignment readingOrder="0" shrinkToFit="0" vertical="top" wrapText="1"/>
    </xf>
    <xf borderId="0" fillId="0" fontId="7" numFmtId="168" xfId="0" applyAlignment="1" applyFont="1" applyNumberFormat="1">
      <alignment readingOrder="0" shrinkToFit="0" vertical="center" wrapText="0"/>
    </xf>
    <xf borderId="0" fillId="0" fontId="8" numFmtId="0" xfId="0" applyAlignment="1" applyFont="1">
      <alignment shrinkToFit="0" vertical="center" wrapText="0"/>
    </xf>
    <xf borderId="0" fillId="0" fontId="12" numFmtId="0" xfId="0" applyAlignment="1" applyFont="1">
      <alignment shrinkToFit="0" vertical="center" wrapText="0"/>
    </xf>
    <xf borderId="0" fillId="0" fontId="12" numFmtId="164" xfId="0" applyAlignment="1" applyFont="1" applyNumberFormat="1">
      <alignment shrinkToFit="0" vertical="center" wrapText="0"/>
    </xf>
    <xf borderId="0" fillId="0" fontId="8" numFmtId="169" xfId="0" applyAlignment="1" applyFont="1" applyNumberFormat="1">
      <alignment shrinkToFit="0" vertical="center" wrapText="0"/>
    </xf>
    <xf borderId="0" fillId="0" fontId="12" numFmtId="170" xfId="0" applyAlignment="1" applyFont="1" applyNumberFormat="1">
      <alignment shrinkToFit="0" vertical="center" wrapText="0"/>
    </xf>
    <xf borderId="5" fillId="0" fontId="14" numFmtId="166" xfId="0" applyAlignment="1" applyBorder="1" applyFont="1" applyNumberFormat="1">
      <alignment horizontal="right" vertical="center"/>
    </xf>
    <xf borderId="5" fillId="0" fontId="14" numFmtId="167" xfId="0" applyAlignment="1" applyBorder="1" applyFont="1" applyNumberFormat="1">
      <alignment horizontal="right" vertical="center"/>
    </xf>
    <xf borderId="0" fillId="0" fontId="15" numFmtId="166" xfId="0" applyAlignment="1" applyFont="1" applyNumberFormat="1">
      <alignment horizontal="right"/>
    </xf>
    <xf borderId="0" fillId="0" fontId="15" numFmtId="167" xfId="0" applyAlignment="1" applyFont="1" applyNumberFormat="1">
      <alignment horizontal="right"/>
    </xf>
    <xf borderId="0" fillId="0" fontId="16" numFmtId="0" xfId="0" applyAlignment="1" applyFont="1">
      <alignment shrinkToFit="0" vertical="center" wrapText="0"/>
    </xf>
    <xf borderId="0" fillId="0" fontId="16" numFmtId="166" xfId="0" applyAlignment="1" applyFont="1" applyNumberFormat="1">
      <alignment horizontal="right" shrinkToFit="0" vertical="center" wrapText="0"/>
    </xf>
    <xf borderId="0" fillId="0" fontId="16" numFmtId="167" xfId="0" applyAlignment="1" applyFont="1" applyNumberFormat="1">
      <alignment horizontal="right" shrinkToFit="0" vertical="center" wrapText="0"/>
    </xf>
    <xf borderId="0" fillId="0" fontId="17" numFmtId="166" xfId="0" applyAlignment="1" applyFont="1" applyNumberFormat="1">
      <alignment horizontal="right" shrinkToFit="0" vertical="center" wrapText="0"/>
    </xf>
    <xf borderId="6" fillId="2" fontId="4" numFmtId="0" xfId="0" applyAlignment="1" applyBorder="1" applyFill="1" applyFont="1">
      <alignment shrinkToFit="0" vertical="center" wrapText="0"/>
    </xf>
    <xf borderId="4" fillId="4" fontId="18" numFmtId="0" xfId="0" applyAlignment="1" applyBorder="1" applyFill="1" applyFont="1">
      <alignment shrinkToFit="0" vertical="bottom" wrapText="0"/>
    </xf>
    <xf borderId="0" fillId="0" fontId="12" numFmtId="169" xfId="0" applyAlignment="1" applyFont="1" applyNumberFormat="1">
      <alignment shrinkToFit="0" vertical="center" wrapText="0"/>
    </xf>
    <xf borderId="5" fillId="0" fontId="11" numFmtId="166" xfId="0" applyAlignment="1" applyBorder="1" applyFont="1" applyNumberFormat="1">
      <alignment horizontal="right" vertical="center"/>
    </xf>
    <xf borderId="5" fillId="0" fontId="11" numFmtId="0" xfId="0" applyAlignment="1" applyBorder="1" applyFont="1">
      <alignment vertical="center"/>
    </xf>
    <xf borderId="0" fillId="0" fontId="12" numFmtId="171" xfId="0" applyAlignment="1" applyFont="1" applyNumberFormat="1">
      <alignment shrinkToFit="0" vertical="center" wrapText="0"/>
    </xf>
    <xf borderId="0" fillId="0" fontId="19" numFmtId="0" xfId="0" applyFont="1"/>
    <xf borderId="0" fillId="0" fontId="20" numFmtId="0" xfId="0" applyAlignment="1" applyFont="1">
      <alignment shrinkToFit="0" vertical="center" wrapText="0"/>
    </xf>
    <xf borderId="0" fillId="0" fontId="17" numFmtId="164" xfId="0" applyAlignment="1" applyFont="1" applyNumberFormat="1">
      <alignment shrinkToFit="0" vertical="center" wrapText="0"/>
    </xf>
    <xf borderId="0" fillId="0" fontId="16" numFmtId="164" xfId="0" applyAlignment="1" applyFont="1" applyNumberFormat="1">
      <alignment shrinkToFit="0" vertical="center" wrapText="0"/>
    </xf>
    <xf borderId="0" fillId="0" fontId="16" numFmtId="169" xfId="0" applyAlignment="1" applyFont="1" applyNumberFormat="1">
      <alignment shrinkToFit="0" vertical="center" wrapText="0"/>
    </xf>
    <xf borderId="0" fillId="0" fontId="16" numFmtId="0" xfId="0" applyAlignment="1" applyFont="1">
      <alignment shrinkToFit="0" vertical="top" wrapText="1"/>
    </xf>
    <xf borderId="0" fillId="0" fontId="21" numFmtId="0" xfId="0" applyAlignment="1" applyFont="1">
      <alignment shrinkToFit="0" vertical="center" wrapText="0"/>
    </xf>
    <xf borderId="0" fillId="0" fontId="11" numFmtId="0" xfId="0" applyAlignment="1" applyFont="1">
      <alignment readingOrder="0" shrinkToFit="0" vertical="top" wrapText="1"/>
    </xf>
    <xf borderId="1" fillId="2" fontId="20" numFmtId="0" xfId="0" applyAlignment="1" applyBorder="1" applyFill="1" applyFont="1">
      <alignment shrinkToFit="0" vertical="center" wrapText="0"/>
    </xf>
    <xf borderId="5" fillId="0" fontId="11" numFmtId="0" xfId="0" applyAlignment="1" applyBorder="1" applyFont="1">
      <alignment readingOrder="0" shrinkToFit="0" vertical="center" wrapText="0"/>
    </xf>
    <xf borderId="5" fillId="0" fontId="11" numFmtId="172" xfId="0" applyAlignment="1" applyBorder="1" applyFont="1" applyNumberFormat="1">
      <alignment horizontal="right" shrinkToFit="0" vertical="center" wrapText="0"/>
    </xf>
    <xf borderId="5" fillId="0" fontId="11" numFmtId="173" xfId="0" applyAlignment="1" applyBorder="1" applyFont="1" applyNumberFormat="1">
      <alignment shrinkToFit="0" vertical="center" wrapText="0"/>
    </xf>
    <xf borderId="5" fillId="0" fontId="12" numFmtId="169" xfId="0" applyAlignment="1" applyBorder="1" applyFont="1" applyNumberFormat="1">
      <alignment shrinkToFit="0" vertical="center" wrapText="0"/>
    </xf>
    <xf borderId="1" fillId="2" fontId="20" numFmtId="0" xfId="0" applyAlignment="1" applyBorder="1" applyFill="1" applyFont="1">
      <alignment vertical="center"/>
    </xf>
    <xf borderId="5" fillId="4" fontId="11" numFmtId="0" xfId="0" applyAlignment="1" applyBorder="1" applyFill="1" applyFont="1">
      <alignment shrinkToFit="0" vertical="center" wrapText="0"/>
    </xf>
    <xf borderId="5" fillId="4" fontId="11" numFmtId="172" xfId="0" applyAlignment="1" applyBorder="1" applyFill="1" applyFont="1" applyNumberFormat="1">
      <alignment horizontal="right" shrinkToFit="0" vertical="center" wrapText="0"/>
    </xf>
    <xf borderId="5" fillId="0" fontId="12" numFmtId="172" xfId="0" applyAlignment="1" applyBorder="1" applyFont="1" applyNumberFormat="1">
      <alignment horizontal="right" shrinkToFit="0" vertical="center" wrapText="0"/>
    </xf>
    <xf borderId="0" fillId="0" fontId="20" numFmtId="0" xfId="0" applyAlignment="1" applyFont="1">
      <alignment shrinkToFit="0" vertical="top" wrapText="1"/>
    </xf>
    <xf borderId="5" fillId="0" fontId="14" numFmtId="0" xfId="0" applyAlignment="1" applyBorder="1" applyFont="1">
      <alignment shrinkToFit="0" vertical="center" wrapText="0"/>
    </xf>
    <xf borderId="5" fillId="0" fontId="14" numFmtId="169" xfId="0" applyAlignment="1" applyBorder="1" applyFont="1" applyNumberFormat="1">
      <alignment shrinkToFit="0" vertical="center" wrapText="0"/>
    </xf>
    <xf borderId="5" fillId="0" fontId="14" numFmtId="0" xfId="0" applyAlignment="1" applyBorder="1" applyFont="1">
      <alignment vertical="center"/>
    </xf>
    <xf borderId="0" fillId="0" fontId="22" numFmtId="0" xfId="0" applyFont="1"/>
    <xf borderId="0" fillId="0" fontId="23" numFmtId="0" xfId="0" applyFont="1"/>
    <xf borderId="0" fillId="6" fontId="24" numFmtId="0" xfId="0" applyAlignment="1" applyFill="1" applyFont="1">
      <alignment shrinkToFit="0" vertical="center" wrapText="0"/>
    </xf>
    <xf borderId="1" fillId="2" fontId="4" numFmtId="0" xfId="0" applyAlignment="1" applyBorder="1" applyFill="1" applyFont="1">
      <alignment shrinkToFit="0" vertical="center" wrapText="0"/>
    </xf>
    <xf borderId="0" fillId="0" fontId="25" numFmtId="0" xfId="0" applyAlignment="1" applyFont="1">
      <alignment readingOrder="0" shrinkToFit="0" vertical="center" wrapText="0"/>
    </xf>
    <xf borderId="0" fillId="0" fontId="25" numFmtId="0" xfId="0" applyAlignment="1" applyFont="1">
      <alignment shrinkToFit="0" vertical="center" wrapText="0"/>
    </xf>
    <xf borderId="4" fillId="4" fontId="26" numFmtId="0" xfId="0" applyAlignment="1" applyBorder="1" applyFill="1" applyFont="1">
      <alignment shrinkToFit="0" vertical="bottom" wrapText="0"/>
    </xf>
    <xf borderId="2" fillId="6" fontId="6" numFmtId="0" xfId="0" applyAlignment="1" applyBorder="1" applyFill="1" applyFont="1">
      <alignment shrinkToFit="0" vertical="center" wrapText="0"/>
    </xf>
    <xf borderId="7" fillId="0" fontId="27" numFmtId="0" xfId="0" applyAlignment="1" applyBorder="1" applyFont="1">
      <alignment readingOrder="0" shrinkToFit="0" vertical="center" wrapText="0"/>
    </xf>
    <xf borderId="7" fillId="0" fontId="27" numFmtId="0" xfId="0" applyAlignment="1" applyBorder="1" applyFont="1">
      <alignment shrinkToFit="0" vertical="center" wrapText="0"/>
    </xf>
    <xf borderId="0" fillId="6" fontId="15" numFmtId="0" xfId="0" applyBorder="1" applyFill="1" applyFont="1"/>
    <xf borderId="0" fillId="6" fontId="15" numFmtId="0" xfId="0" applyFill="1" applyFont="1"/>
    <xf borderId="8" fillId="7" fontId="28" numFmtId="0" xfId="0" applyAlignment="1" applyBorder="1" applyFill="1" applyFont="1">
      <alignment shrinkToFit="0" vertical="center" wrapText="0"/>
    </xf>
    <xf borderId="9" fillId="2" fontId="28" numFmtId="0" xfId="0" applyAlignment="1" applyBorder="1" applyFill="1" applyFont="1">
      <alignment shrinkToFit="0" vertical="center" wrapText="0"/>
    </xf>
    <xf borderId="5" fillId="0" fontId="11" numFmtId="171" xfId="0" applyAlignment="1" applyBorder="1" applyFont="1" applyNumberFormat="1">
      <alignment shrinkToFit="0" vertical="center" wrapText="0"/>
    </xf>
    <xf borderId="10" fillId="8" fontId="29" numFmtId="0" xfId="0" applyAlignment="1" applyBorder="1" applyFill="1" applyFont="1">
      <alignment shrinkToFit="0" vertical="center" wrapText="1"/>
    </xf>
    <xf borderId="11" fillId="0" fontId="30" numFmtId="0" xfId="0" applyBorder="1" applyFont="1"/>
    <xf borderId="12" fillId="0" fontId="30" numFmtId="0" xfId="0" applyBorder="1" applyFont="1"/>
    <xf borderId="13" fillId="9" fontId="31" numFmtId="0" xfId="0" applyAlignment="1" applyBorder="1" applyFill="1" applyFont="1">
      <alignment shrinkToFit="0" vertical="center" wrapText="1"/>
    </xf>
    <xf borderId="14" fillId="9" fontId="31" numFmtId="0" xfId="0" applyAlignment="1" applyBorder="1" applyFill="1" applyFont="1">
      <alignment shrinkToFit="0" vertical="center" wrapText="1"/>
    </xf>
    <xf borderId="0" fillId="6" fontId="15" numFmtId="0" xfId="0" applyBorder="1" applyFill="1" applyFont="1"/>
    <xf borderId="15" fillId="10" fontId="28" numFmtId="0" xfId="0" applyAlignment="1" applyBorder="1" applyFill="1" applyFont="1">
      <alignment shrinkToFit="0" vertical="center" wrapText="0"/>
    </xf>
    <xf borderId="0" fillId="0" fontId="11" numFmtId="9" xfId="0" applyAlignment="1" applyFont="1" applyNumberFormat="1">
      <alignment shrinkToFit="0" vertical="center" wrapText="0"/>
    </xf>
    <xf borderId="0" fillId="0" fontId="32" numFmtId="0" xfId="0" applyAlignment="1" applyFont="1">
      <alignment shrinkToFit="0" vertical="center" wrapText="0"/>
    </xf>
    <xf borderId="16" fillId="11" fontId="4" numFmtId="0" xfId="0" applyAlignment="1" applyBorder="1" applyFill="1" applyFont="1">
      <alignment horizontal="left" shrinkToFit="0" vertical="center" wrapText="1"/>
    </xf>
    <xf borderId="16" fillId="11" fontId="4" numFmtId="0" xfId="0" applyAlignment="1" applyBorder="1" applyFill="1" applyFont="1">
      <alignment horizontal="right" shrinkToFit="0" vertical="center" wrapText="1"/>
    </xf>
    <xf borderId="5" fillId="6" fontId="11" numFmtId="0" xfId="0" applyAlignment="1" applyBorder="1" applyFill="1" applyFont="1">
      <alignment shrinkToFit="0" vertical="center" wrapText="0"/>
    </xf>
    <xf borderId="5" fillId="6" fontId="12" numFmtId="164" xfId="0" applyAlignment="1" applyBorder="1" applyFill="1" applyFont="1" applyNumberFormat="1">
      <alignment shrinkToFit="0" vertical="center" wrapText="0"/>
    </xf>
    <xf borderId="5" fillId="6" fontId="11" numFmtId="164" xfId="0" applyAlignment="1" applyBorder="1" applyFill="1" applyFont="1" applyNumberFormat="1">
      <alignment shrinkToFit="0" vertical="center" wrapText="0"/>
    </xf>
    <xf borderId="5" fillId="6" fontId="11" numFmtId="170" xfId="0" applyAlignment="1" applyBorder="1" applyFill="1" applyFont="1" applyNumberFormat="1">
      <alignment shrinkToFit="0" vertical="center" wrapText="0"/>
    </xf>
    <xf borderId="0" fillId="0" fontId="15" numFmtId="0" xfId="0" applyFont="1"/>
    <xf borderId="5" fillId="12" fontId="11" numFmtId="0" xfId="0" applyAlignment="1" applyBorder="1" applyFill="1" applyFont="1">
      <alignment shrinkToFit="0" vertical="center" wrapText="0"/>
    </xf>
    <xf borderId="5" fillId="12" fontId="12" numFmtId="164" xfId="0" applyAlignment="1" applyBorder="1" applyFill="1" applyFont="1" applyNumberFormat="1">
      <alignment shrinkToFit="0" vertical="center" wrapText="0"/>
    </xf>
    <xf borderId="5" fillId="12" fontId="11" numFmtId="164" xfId="0" applyAlignment="1" applyBorder="1" applyFill="1" applyFont="1" applyNumberFormat="1">
      <alignment shrinkToFit="0" vertical="center" wrapText="0"/>
    </xf>
    <xf borderId="5" fillId="12" fontId="11" numFmtId="170" xfId="0" applyAlignment="1" applyBorder="1" applyFill="1" applyFont="1" applyNumberFormat="1">
      <alignment shrinkToFit="0" vertical="center" wrapText="0"/>
    </xf>
    <xf borderId="5" fillId="12" fontId="11" numFmtId="169" xfId="0" applyAlignment="1" applyBorder="1" applyFill="1" applyFont="1" applyNumberFormat="1">
      <alignment shrinkToFit="0" vertical="center" wrapText="0"/>
    </xf>
    <xf borderId="5" fillId="12" fontId="14" numFmtId="0" xfId="0" applyAlignment="1" applyBorder="1" applyFill="1" applyFont="1">
      <alignment vertical="center"/>
    </xf>
    <xf borderId="0" fillId="0" fontId="15" numFmtId="0" xfId="0" applyAlignment="1" applyFont="1">
      <alignment shrinkToFit="0" wrapText="1"/>
    </xf>
    <xf borderId="0" fillId="0" fontId="15" numFmtId="0" xfId="0" applyAlignment="1" applyFont="1">
      <alignment shrinkToFit="0" wrapText="0"/>
    </xf>
    <xf borderId="5" fillId="0" fontId="12" numFmtId="171" xfId="0" applyAlignment="1" applyBorder="1" applyFont="1" applyNumberFormat="1">
      <alignment shrinkToFit="0" vertical="center" wrapText="0"/>
    </xf>
    <xf borderId="5" fillId="12" fontId="12" numFmtId="169" xfId="0" applyAlignment="1" applyBorder="1" applyFill="1" applyFont="1" applyNumberFormat="1">
      <alignment shrinkToFit="0" vertical="center" wrapText="0"/>
    </xf>
    <xf borderId="17" fillId="13" fontId="21" numFmtId="0" xfId="0" applyAlignment="1" applyBorder="1" applyFill="1" applyFont="1">
      <alignment shrinkToFit="0" vertical="center" wrapText="0"/>
    </xf>
    <xf borderId="17" fillId="13" fontId="33" numFmtId="0" xfId="0" applyAlignment="1" applyBorder="1" applyFill="1" applyFont="1">
      <alignment vertical="center"/>
    </xf>
    <xf borderId="17" fillId="13" fontId="21" numFmtId="169" xfId="0" applyAlignment="1" applyBorder="1" applyFill="1" applyFont="1" applyNumberFormat="1">
      <alignment shrinkToFit="0" vertical="center" wrapText="0"/>
    </xf>
    <xf borderId="18" fillId="11" fontId="4" numFmtId="0" xfId="0" applyAlignment="1" applyBorder="1" applyFill="1" applyFont="1">
      <alignment horizontal="left" shrinkToFit="0" vertical="center" wrapText="1"/>
    </xf>
    <xf borderId="19" fillId="0" fontId="30" numFmtId="0" xfId="0" applyBorder="1" applyFont="1"/>
    <xf borderId="20" fillId="0" fontId="30" numFmtId="0" xfId="0" applyBorder="1" applyFont="1"/>
    <xf borderId="21" fillId="13" fontId="20" numFmtId="0" xfId="0" applyAlignment="1" applyBorder="1" applyFill="1" applyFont="1">
      <alignment shrinkToFit="0" vertical="center" wrapText="0"/>
    </xf>
    <xf borderId="21" fillId="13" fontId="21" numFmtId="166" xfId="0" applyAlignment="1" applyBorder="1" applyFill="1" applyFont="1" applyNumberFormat="1">
      <alignment horizontal="right" shrinkToFit="0" vertical="center" wrapText="0"/>
    </xf>
    <xf borderId="22" fillId="13" fontId="20" numFmtId="0" xfId="0" applyAlignment="1" applyBorder="1" applyFill="1" applyFont="1">
      <alignment horizontal="left" shrinkToFit="0" vertical="center" wrapText="1"/>
    </xf>
    <xf borderId="13" fillId="0" fontId="30" numFmtId="0" xfId="0" applyBorder="1" applyFont="1"/>
    <xf borderId="14" fillId="0" fontId="30" numFmtId="0" xfId="0" applyBorder="1" applyFont="1"/>
    <xf borderId="5" fillId="6" fontId="12" numFmtId="166" xfId="0" applyAlignment="1" applyBorder="1" applyFill="1" applyFont="1" applyNumberFormat="1">
      <alignment horizontal="right" shrinkToFit="0" vertical="center" wrapText="0"/>
    </xf>
    <xf borderId="23" fillId="6" fontId="12" numFmtId="0" xfId="0" applyAlignment="1" applyBorder="1" applyFill="1" applyFont="1">
      <alignment horizontal="left" shrinkToFit="0" vertical="center" wrapText="1"/>
    </xf>
    <xf borderId="24" fillId="0" fontId="30" numFmtId="0" xfId="0" applyBorder="1" applyFont="1"/>
    <xf borderId="25" fillId="0" fontId="30" numFmtId="0" xfId="0" applyBorder="1" applyFont="1"/>
    <xf borderId="5" fillId="12" fontId="12" numFmtId="166" xfId="0" applyAlignment="1" applyBorder="1" applyFill="1" applyFont="1" applyNumberFormat="1">
      <alignment horizontal="right" shrinkToFit="0" vertical="center" wrapText="0"/>
    </xf>
    <xf borderId="23" fillId="12" fontId="12" numFmtId="0" xfId="0" applyAlignment="1" applyBorder="1" applyFill="1" applyFont="1">
      <alignment horizontal="left" shrinkToFit="0" vertical="center" wrapText="1"/>
    </xf>
    <xf borderId="26" fillId="13" fontId="20" numFmtId="0" xfId="0" applyAlignment="1" applyBorder="1" applyFill="1" applyFont="1">
      <alignment shrinkToFit="0" vertical="center" wrapText="0"/>
    </xf>
    <xf borderId="26" fillId="13" fontId="21" numFmtId="166" xfId="0" applyAlignment="1" applyBorder="1" applyFill="1" applyFont="1" applyNumberFormat="1">
      <alignment horizontal="right" shrinkToFit="0" vertical="center" wrapText="0"/>
    </xf>
    <xf borderId="27" fillId="13" fontId="21" numFmtId="0" xfId="0" applyAlignment="1" applyBorder="1" applyFill="1" applyFont="1">
      <alignment horizontal="left" shrinkToFit="0" vertical="center" wrapText="1"/>
    </xf>
    <xf borderId="28" fillId="0" fontId="30" numFmtId="0" xfId="0" applyBorder="1" applyFont="1"/>
    <xf borderId="29" fillId="0" fontId="30" numFmtId="0" xfId="0" applyBorder="1" applyFont="1"/>
    <xf borderId="0" fillId="6" fontId="28" numFmtId="0" xfId="0" applyAlignment="1" applyBorder="1" applyFill="1" applyFont="1">
      <alignment vertical="center"/>
    </xf>
    <xf borderId="15" fillId="10" fontId="28" numFmtId="0" xfId="0" applyAlignment="1" applyBorder="1" applyFill="1" applyFont="1">
      <alignment horizontal="left" shrinkToFit="0" vertical="center" wrapText="0"/>
    </xf>
    <xf borderId="15" fillId="10" fontId="28" numFmtId="0" xfId="0" applyAlignment="1" applyBorder="1" applyFill="1" applyFont="1">
      <alignment horizontal="right" shrinkToFit="0" vertical="center" wrapText="0"/>
    </xf>
    <xf borderId="16" fillId="11" fontId="4" numFmtId="0" xfId="0" applyAlignment="1" applyBorder="1" applyFill="1" applyFont="1">
      <alignment vertical="center"/>
    </xf>
    <xf borderId="5" fillId="6" fontId="11" numFmtId="0" xfId="0" applyAlignment="1" applyBorder="1" applyFill="1" applyFont="1">
      <alignment horizontal="left" shrinkToFit="0" vertical="center" wrapText="0"/>
    </xf>
    <xf borderId="5" fillId="6" fontId="12" numFmtId="164" xfId="0" applyAlignment="1" applyBorder="1" applyFill="1" applyFont="1" applyNumberFormat="1">
      <alignment horizontal="right" shrinkToFit="0" vertical="center" wrapText="0"/>
    </xf>
    <xf borderId="5" fillId="6" fontId="14" numFmtId="0" xfId="0" applyAlignment="1" applyBorder="1" applyFill="1" applyFont="1">
      <alignment vertical="center"/>
    </xf>
    <xf borderId="5" fillId="12" fontId="34" numFmtId="0" xfId="0" applyAlignment="1" applyBorder="1" applyFill="1" applyFont="1">
      <alignment horizontal="left" shrinkToFit="0" vertical="center" wrapText="0"/>
    </xf>
    <xf borderId="5" fillId="12" fontId="35" numFmtId="0" xfId="0" applyAlignment="1" applyBorder="1" applyFill="1" applyFont="1">
      <alignment horizontal="right" vertical="center"/>
    </xf>
    <xf borderId="5" fillId="12" fontId="35" numFmtId="170" xfId="0" applyAlignment="1" applyBorder="1" applyFill="1" applyFont="1" applyNumberFormat="1">
      <alignment horizontal="right" shrinkToFit="0" vertical="center" wrapText="0"/>
    </xf>
    <xf borderId="5" fillId="12" fontId="36" numFmtId="0" xfId="0" applyAlignment="1" applyBorder="1" applyFill="1" applyFont="1">
      <alignment vertical="center"/>
    </xf>
    <xf borderId="5" fillId="6" fontId="12" numFmtId="170" xfId="0" applyAlignment="1" applyBorder="1" applyFill="1" applyFont="1" applyNumberFormat="1">
      <alignment horizontal="right" shrinkToFit="0" vertical="center" wrapText="0"/>
    </xf>
    <xf borderId="5" fillId="12" fontId="11" numFmtId="0" xfId="0" applyAlignment="1" applyBorder="1" applyFill="1" applyFont="1">
      <alignment horizontal="left" shrinkToFit="0" vertical="center" wrapText="0"/>
    </xf>
    <xf borderId="5" fillId="12" fontId="12" numFmtId="164" xfId="0" applyAlignment="1" applyBorder="1" applyFill="1" applyFont="1" applyNumberFormat="1">
      <alignment horizontal="right" shrinkToFit="0" vertical="center" wrapText="0"/>
    </xf>
    <xf borderId="17" fillId="13" fontId="34" numFmtId="0" xfId="0" applyAlignment="1" applyBorder="1" applyFill="1" applyFont="1">
      <alignment shrinkToFit="0" vertical="center" wrapText="1"/>
    </xf>
    <xf borderId="17" fillId="13" fontId="35" numFmtId="164" xfId="0" applyAlignment="1" applyBorder="1" applyFill="1" applyFont="1" applyNumberFormat="1">
      <alignment shrinkToFit="0" vertical="center" wrapText="1"/>
    </xf>
    <xf borderId="17" fillId="13" fontId="37" numFmtId="0" xfId="0" applyAlignment="1" applyBorder="1" applyFill="1" applyFont="1">
      <alignment shrinkToFit="0" vertical="center" wrapText="1"/>
    </xf>
    <xf borderId="30" fillId="6" fontId="38" numFmtId="0" xfId="0" applyAlignment="1" applyBorder="1" applyFill="1" applyFont="1">
      <alignment shrinkToFit="0" vertical="center" wrapText="1"/>
    </xf>
    <xf borderId="31" fillId="8" fontId="29" numFmtId="0" xfId="0" applyAlignment="1" applyBorder="1" applyFill="1" applyFont="1">
      <alignment shrinkToFit="0" vertical="center" wrapText="1"/>
    </xf>
    <xf borderId="32" fillId="0" fontId="30" numFmtId="0" xfId="0" applyBorder="1" applyFont="1"/>
    <xf borderId="33" fillId="0" fontId="30" numFmtId="0" xfId="0" applyBorder="1" applyFont="1"/>
    <xf borderId="34" fillId="6" fontId="39" numFmtId="0" xfId="0" applyAlignment="1" applyBorder="1" applyFill="1" applyFont="1">
      <alignment shrinkToFit="0" vertical="center" wrapText="1"/>
    </xf>
    <xf borderId="35" fillId="6" fontId="39" numFmtId="0" xfId="0" applyAlignment="1" applyBorder="1" applyFill="1" applyFont="1">
      <alignment shrinkToFit="0" vertical="center" wrapText="1"/>
    </xf>
    <xf borderId="36" fillId="6" fontId="4" numFmtId="0" xfId="0" applyAlignment="1" applyBorder="1" applyFill="1" applyFont="1">
      <alignment shrinkToFit="0" vertical="center" wrapText="0"/>
    </xf>
    <xf borderId="37" fillId="6" fontId="29" numFmtId="0" xfId="0" applyAlignment="1" applyBorder="1" applyFill="1" applyFont="1">
      <alignment shrinkToFit="0" vertical="center" wrapText="1"/>
    </xf>
    <xf borderId="38" fillId="0" fontId="30" numFmtId="0" xfId="0" applyBorder="1" applyFont="1"/>
    <xf borderId="39" fillId="0" fontId="30" numFmtId="0" xfId="0" applyBorder="1" applyFont="1"/>
    <xf borderId="34" fillId="6" fontId="40" numFmtId="0" xfId="0" applyAlignment="1" applyBorder="1" applyFill="1" applyFont="1">
      <alignment shrinkToFit="0" vertical="center" wrapText="1"/>
    </xf>
    <xf borderId="35" fillId="6" fontId="40" numFmtId="0" xfId="0" applyAlignment="1" applyBorder="1" applyFill="1" applyFont="1">
      <alignment shrinkToFit="0" vertical="center" wrapText="1"/>
    </xf>
    <xf borderId="40" fillId="6" fontId="29" numFmtId="0" xfId="0" applyAlignment="1" applyBorder="1" applyFill="1" applyFont="1">
      <alignment shrinkToFit="0" vertical="center" wrapText="1"/>
    </xf>
    <xf borderId="41" fillId="0" fontId="30" numFmtId="0" xfId="0" applyBorder="1" applyFont="1"/>
    <xf borderId="42" fillId="6" fontId="4" numFmtId="0" xfId="0" applyAlignment="1" applyBorder="1" applyFill="1" applyFont="1">
      <alignment shrinkToFit="0" vertical="center" wrapText="0"/>
    </xf>
    <xf borderId="0" fillId="0" fontId="4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Total opex bridge, FY2024 to FY2025 ($mm)</a:t>
            </a:r>
          </a:p>
        </c:rich>
      </c:tx>
      <c:overlay val="0"/>
    </c:title>
    <c:view3D>
      <c:rotX val="15"/>
      <c:rotY val="20"/>
      <c:depthPercent val="100"/>
      <c:rAngAx val="1"/>
    </c:view3D>
    <c:plotArea>
      <c:layout/>
      <c:bar3DChart>
        <c:barDir val="col"/>
        <c:grouping val="stacked"/>
        <c:ser>
          <c:idx val="0"/>
          <c:order val="0"/>
          <c:tx>
            <c:v>Chart base</c:v>
          </c:tx>
          <c:spPr>
            <a:solidFill>
              <a:schemeClr val="accent1"/>
            </a:solidFill>
            <a:ln cmpd="sng">
              <a:noFill/>
            </a:ln>
          </c:spPr>
          <c:invertIfNegative val="0"/>
          <c:cat>
            <c:strRef>
              <c:f>Variance!$B$23:$B$28</c:f>
            </c:strRef>
          </c:cat>
          <c:val>
            <c:numRef>
              <c:f>Variance!$F$23:$F$28</c:f>
              <c:numCache/>
            </c:numRef>
          </c:val>
        </c:ser>
        <c:ser>
          <c:idx val="1"/>
          <c:order val="1"/>
          <c:tx>
            <c:v>Chart height</c:v>
          </c:tx>
          <c:spPr>
            <a:solidFill>
              <a:srgbClr val="1F3864"/>
            </a:solidFill>
            <a:ln cmpd="sng">
              <a:noFill/>
            </a:ln>
          </c:spPr>
          <c:invertIfNegative val="0"/>
          <c:cat>
            <c:strRef>
              <c:f>Variance!$B$23:$B$28</c:f>
            </c:strRef>
          </c:cat>
          <c:val>
            <c:numRef>
              <c:f>Variance!$G$23:$G$28</c:f>
              <c:numCache/>
            </c:numRef>
          </c:val>
        </c:ser>
        <c:axId val="289534078"/>
        <c:axId val="1768918135"/>
      </c:bar3DChart>
      <c:catAx>
        <c:axId val="2895340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768918135"/>
      </c:catAx>
      <c:valAx>
        <c:axId val="1768918135"/>
        <c:scaling>
          <c:orientation val="minMax"/>
          <c:min val="5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89534078"/>
      </c:valAx>
    </c:plotArea>
    <c:plotVisOnly val="1"/>
  </c:chart>
  <c:spPr>
    <a:solidFill>
      <a:srgbClr val="FFFFFF"/>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3</xdr:row>
      <xdr:rowOff>0</xdr:rowOff>
    </xdr:from>
    <xdr:ext cx="6858000" cy="33718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c.gov/Archives/edgar/data/831001/000083100125000067/c-20241231.htm" TargetMode="External"/><Relationship Id="rId2" Type="http://schemas.openxmlformats.org/officeDocument/2006/relationships/hyperlink" Target="https://www.sec.gov/Archives/edgar/data/831001/000083100126000011/c-20251231.htm" TargetMode="External"/><Relationship Id="rId3" Type="http://schemas.openxmlformats.org/officeDocument/2006/relationships/hyperlink" Target="https://www.sec.gov/Archives/edgar/data/831001/000083100126000011/c-20251231.ht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44.0"/>
    <col customWidth="1" min="3" max="4" width="34.0"/>
    <col customWidth="1" min="5" max="5" width="40.0"/>
    <col customWidth="1" min="6" max="6" width="10.0"/>
    <col customWidth="1" min="7" max="26" width="8.71"/>
  </cols>
  <sheetData>
    <row r="1">
      <c r="A1" s="2"/>
      <c r="B1" s="3" t="s">
        <v>3</v>
      </c>
      <c r="C1" s="2"/>
      <c r="D1" s="2"/>
      <c r="E1" s="2"/>
      <c r="F1" s="2"/>
      <c r="G1" s="4"/>
      <c r="H1" s="4"/>
      <c r="I1" s="4"/>
      <c r="J1" s="4"/>
      <c r="K1" s="4"/>
      <c r="L1" s="4"/>
      <c r="M1" s="4"/>
      <c r="N1" s="4"/>
      <c r="O1" s="4"/>
      <c r="P1" s="4"/>
      <c r="Q1" s="4"/>
      <c r="R1" s="4"/>
      <c r="S1" s="4"/>
      <c r="T1" s="4"/>
      <c r="U1" s="4"/>
      <c r="V1" s="4"/>
      <c r="W1" s="4"/>
      <c r="X1" s="4"/>
      <c r="Y1" s="4"/>
      <c r="Z1" s="4"/>
    </row>
    <row r="2">
      <c r="A2" s="4"/>
      <c r="B2" s="6" t="s">
        <v>14</v>
      </c>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15" t="s">
        <v>19</v>
      </c>
      <c r="C4" s="17"/>
      <c r="D4" s="17"/>
      <c r="E4" s="17"/>
      <c r="F4" s="17"/>
      <c r="G4" s="4"/>
      <c r="H4" s="4"/>
      <c r="I4" s="4"/>
      <c r="J4" s="4"/>
      <c r="K4" s="4"/>
      <c r="L4" s="4"/>
      <c r="M4" s="4"/>
      <c r="N4" s="4"/>
      <c r="O4" s="4"/>
      <c r="P4" s="4"/>
      <c r="Q4" s="4"/>
      <c r="R4" s="4"/>
      <c r="S4" s="4"/>
      <c r="T4" s="4"/>
      <c r="U4" s="4"/>
      <c r="V4" s="4"/>
      <c r="W4" s="4"/>
      <c r="X4" s="4"/>
      <c r="Y4" s="4"/>
      <c r="Z4" s="4"/>
    </row>
    <row r="5" ht="40.5" customHeight="1">
      <c r="A5" s="4"/>
      <c r="B5" s="22" t="s">
        <v>41</v>
      </c>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15" t="s">
        <v>54</v>
      </c>
      <c r="C7" s="17"/>
      <c r="D7" s="17"/>
      <c r="E7" s="17"/>
      <c r="F7" s="17"/>
      <c r="G7" s="4"/>
      <c r="H7" s="4"/>
      <c r="I7" s="4"/>
      <c r="J7" s="4"/>
      <c r="K7" s="4"/>
      <c r="L7" s="4"/>
      <c r="M7" s="4"/>
      <c r="N7" s="4"/>
      <c r="O7" s="4"/>
      <c r="P7" s="4"/>
      <c r="Q7" s="4"/>
      <c r="R7" s="4"/>
      <c r="S7" s="4"/>
      <c r="T7" s="4"/>
      <c r="U7" s="4"/>
      <c r="V7" s="4"/>
      <c r="W7" s="4"/>
      <c r="X7" s="4"/>
      <c r="Y7" s="4"/>
      <c r="Z7" s="4"/>
    </row>
    <row r="8" ht="40.5" customHeight="1">
      <c r="A8" s="4"/>
      <c r="B8" s="22" t="s">
        <v>64</v>
      </c>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15" t="s">
        <v>73</v>
      </c>
      <c r="C10" s="17"/>
      <c r="D10" s="17"/>
      <c r="E10" s="17"/>
      <c r="F10" s="17"/>
      <c r="G10" s="4"/>
      <c r="H10" s="4"/>
      <c r="I10" s="4"/>
      <c r="J10" s="4"/>
      <c r="K10" s="4"/>
      <c r="L10" s="4"/>
      <c r="M10" s="4"/>
      <c r="N10" s="4"/>
      <c r="O10" s="4"/>
      <c r="P10" s="4"/>
      <c r="Q10" s="4"/>
      <c r="R10" s="4"/>
      <c r="S10" s="4"/>
      <c r="T10" s="4"/>
      <c r="U10" s="4"/>
      <c r="V10" s="4"/>
      <c r="W10" s="4"/>
      <c r="X10" s="4"/>
      <c r="Y10" s="4"/>
      <c r="Z10" s="4"/>
    </row>
    <row r="11">
      <c r="A11" s="4"/>
      <c r="B11" s="25" t="s">
        <v>76</v>
      </c>
      <c r="C11" s="26" t="s">
        <v>79</v>
      </c>
      <c r="D11" s="26" t="s">
        <v>83</v>
      </c>
      <c r="E11" s="4"/>
      <c r="F11" s="4"/>
      <c r="G11" s="4"/>
      <c r="H11" s="4"/>
      <c r="I11" s="4"/>
      <c r="J11" s="4"/>
      <c r="K11" s="4"/>
      <c r="L11" s="4"/>
      <c r="M11" s="4"/>
      <c r="N11" s="4"/>
      <c r="O11" s="4"/>
      <c r="P11" s="4"/>
      <c r="Q11" s="4"/>
      <c r="R11" s="4"/>
      <c r="S11" s="4"/>
      <c r="T11" s="4"/>
      <c r="U11" s="4"/>
      <c r="V11" s="4"/>
      <c r="W11" s="4"/>
      <c r="X11" s="4"/>
      <c r="Y11" s="4"/>
      <c r="Z11" s="4"/>
    </row>
    <row r="12" ht="27.75" customHeight="1">
      <c r="A12" s="4"/>
      <c r="B12" s="19" t="s">
        <v>85</v>
      </c>
      <c r="C12" s="22" t="s">
        <v>86</v>
      </c>
      <c r="D12" s="22" t="s">
        <v>89</v>
      </c>
      <c r="E12" s="4"/>
      <c r="F12" s="4"/>
      <c r="G12" s="4"/>
      <c r="H12" s="4"/>
      <c r="I12" s="4"/>
      <c r="J12" s="4"/>
      <c r="K12" s="4"/>
      <c r="L12" s="4"/>
      <c r="M12" s="4"/>
      <c r="N12" s="4"/>
      <c r="O12" s="4"/>
      <c r="P12" s="4"/>
      <c r="Q12" s="4"/>
      <c r="R12" s="4"/>
      <c r="S12" s="4"/>
      <c r="T12" s="4"/>
      <c r="U12" s="4"/>
      <c r="V12" s="4"/>
      <c r="W12" s="4"/>
      <c r="X12" s="4"/>
      <c r="Y12" s="4"/>
      <c r="Z12" s="4"/>
    </row>
    <row r="13" ht="27.75" customHeight="1">
      <c r="A13" s="4"/>
      <c r="B13" s="19" t="s">
        <v>93</v>
      </c>
      <c r="C13" s="22" t="s">
        <v>95</v>
      </c>
      <c r="D13" s="22" t="s">
        <v>96</v>
      </c>
      <c r="E13" s="4"/>
      <c r="F13" s="4"/>
      <c r="G13" s="4"/>
      <c r="H13" s="4"/>
      <c r="I13" s="4"/>
      <c r="J13" s="4"/>
      <c r="K13" s="4"/>
      <c r="L13" s="4"/>
      <c r="M13" s="4"/>
      <c r="N13" s="4"/>
      <c r="O13" s="4"/>
      <c r="P13" s="4"/>
      <c r="Q13" s="4"/>
      <c r="R13" s="4"/>
      <c r="S13" s="4"/>
      <c r="T13" s="4"/>
      <c r="U13" s="4"/>
      <c r="V13" s="4"/>
      <c r="W13" s="4"/>
      <c r="X13" s="4"/>
      <c r="Y13" s="4"/>
      <c r="Z13" s="4"/>
    </row>
    <row r="14" ht="27.75" customHeight="1">
      <c r="A14" s="4"/>
      <c r="B14" s="19" t="s">
        <v>37</v>
      </c>
      <c r="C14" s="22" t="s">
        <v>105</v>
      </c>
      <c r="D14" s="22" t="s">
        <v>107</v>
      </c>
      <c r="E14" s="4"/>
      <c r="F14" s="4"/>
      <c r="G14" s="4"/>
      <c r="H14" s="4"/>
      <c r="I14" s="4"/>
      <c r="J14" s="4"/>
      <c r="K14" s="4"/>
      <c r="L14" s="4"/>
      <c r="M14" s="4"/>
      <c r="N14" s="4"/>
      <c r="O14" s="4"/>
      <c r="P14" s="4"/>
      <c r="Q14" s="4"/>
      <c r="R14" s="4"/>
      <c r="S14" s="4"/>
      <c r="T14" s="4"/>
      <c r="U14" s="4"/>
      <c r="V14" s="4"/>
      <c r="W14" s="4"/>
      <c r="X14" s="4"/>
      <c r="Y14" s="4"/>
      <c r="Z14" s="4"/>
    </row>
    <row r="15" ht="27.75" customHeight="1">
      <c r="A15" s="4"/>
      <c r="B15" s="19" t="s">
        <v>57</v>
      </c>
      <c r="C15" s="22" t="s">
        <v>110</v>
      </c>
      <c r="D15" s="22" t="s">
        <v>107</v>
      </c>
      <c r="E15" s="4"/>
      <c r="F15" s="4"/>
      <c r="G15" s="4"/>
      <c r="H15" s="4"/>
      <c r="I15" s="4"/>
      <c r="J15" s="4"/>
      <c r="K15" s="4"/>
      <c r="L15" s="4"/>
      <c r="M15" s="4"/>
      <c r="N15" s="4"/>
      <c r="O15" s="4"/>
      <c r="P15" s="4"/>
      <c r="Q15" s="4"/>
      <c r="R15" s="4"/>
      <c r="S15" s="4"/>
      <c r="T15" s="4"/>
      <c r="U15" s="4"/>
      <c r="V15" s="4"/>
      <c r="W15" s="4"/>
      <c r="X15" s="4"/>
      <c r="Y15" s="4"/>
      <c r="Z15" s="4"/>
    </row>
    <row r="16" ht="27.75" customHeight="1">
      <c r="A16" s="4"/>
      <c r="B16" s="19" t="s">
        <v>63</v>
      </c>
      <c r="C16" s="22" t="s">
        <v>113</v>
      </c>
      <c r="D16" s="22" t="s">
        <v>107</v>
      </c>
      <c r="E16" s="4"/>
      <c r="F16" s="4"/>
      <c r="G16" s="4"/>
      <c r="H16" s="4"/>
      <c r="I16" s="4"/>
      <c r="J16" s="4"/>
      <c r="K16" s="4"/>
      <c r="L16" s="4"/>
      <c r="M16" s="4"/>
      <c r="N16" s="4"/>
      <c r="O16" s="4"/>
      <c r="P16" s="4"/>
      <c r="Q16" s="4"/>
      <c r="R16" s="4"/>
      <c r="S16" s="4"/>
      <c r="T16" s="4"/>
      <c r="U16" s="4"/>
      <c r="V16" s="4"/>
      <c r="W16" s="4"/>
      <c r="X16" s="4"/>
      <c r="Y16" s="4"/>
      <c r="Z16" s="4"/>
    </row>
    <row r="17" ht="27.75" customHeight="1">
      <c r="A17" s="4"/>
      <c r="B17" s="19" t="s">
        <v>87</v>
      </c>
      <c r="C17" s="22" t="s">
        <v>114</v>
      </c>
      <c r="D17" s="22" t="s">
        <v>107</v>
      </c>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15" t="s">
        <v>116</v>
      </c>
      <c r="C19" s="17"/>
      <c r="D19" s="17"/>
      <c r="E19" s="17"/>
      <c r="F19" s="17"/>
      <c r="G19" s="4"/>
      <c r="H19" s="4"/>
      <c r="I19" s="4"/>
      <c r="J19" s="4"/>
      <c r="K19" s="4"/>
      <c r="L19" s="4"/>
      <c r="M19" s="4"/>
      <c r="N19" s="4"/>
      <c r="O19" s="4"/>
      <c r="P19" s="4"/>
      <c r="Q19" s="4"/>
      <c r="R19" s="4"/>
      <c r="S19" s="4"/>
      <c r="T19" s="4"/>
      <c r="U19" s="4"/>
      <c r="V19" s="4"/>
      <c r="W19" s="4"/>
      <c r="X19" s="4"/>
      <c r="Y19" s="4"/>
      <c r="Z19" s="4"/>
    </row>
    <row r="20">
      <c r="A20" s="4"/>
      <c r="B20" s="32" t="s">
        <v>118</v>
      </c>
      <c r="C20" s="19" t="s">
        <v>121</v>
      </c>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19" t="s">
        <v>130</v>
      </c>
      <c r="C21" s="19" t="s">
        <v>131</v>
      </c>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33" t="s">
        <v>138</v>
      </c>
      <c r="C22" s="19" t="s">
        <v>143</v>
      </c>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15" t="s">
        <v>149</v>
      </c>
      <c r="C24" s="17"/>
      <c r="D24" s="17"/>
      <c r="E24" s="17"/>
      <c r="F24" s="17"/>
      <c r="G24" s="4"/>
      <c r="H24" s="4"/>
      <c r="I24" s="4"/>
      <c r="J24" s="4"/>
      <c r="K24" s="4"/>
      <c r="L24" s="4"/>
      <c r="M24" s="4"/>
      <c r="N24" s="4"/>
      <c r="O24" s="4"/>
      <c r="P24" s="4"/>
      <c r="Q24" s="4"/>
      <c r="R24" s="4"/>
      <c r="S24" s="4"/>
      <c r="T24" s="4"/>
      <c r="U24" s="4"/>
      <c r="V24" s="4"/>
      <c r="W24" s="4"/>
      <c r="X24" s="4"/>
      <c r="Y24" s="4"/>
      <c r="Z24" s="4"/>
    </row>
    <row r="25" ht="15.75" customHeight="1">
      <c r="A25" s="4"/>
      <c r="B25" s="13" t="s">
        <v>151</v>
      </c>
      <c r="C25" s="16" t="s">
        <v>33</v>
      </c>
      <c r="D25" s="16" t="s">
        <v>28</v>
      </c>
      <c r="E25" s="16" t="s">
        <v>157</v>
      </c>
      <c r="F25" s="4"/>
      <c r="G25" s="4"/>
      <c r="H25" s="4"/>
      <c r="I25" s="4"/>
      <c r="J25" s="4"/>
      <c r="K25" s="4"/>
      <c r="L25" s="4"/>
      <c r="M25" s="4"/>
      <c r="N25" s="4"/>
      <c r="O25" s="4"/>
      <c r="P25" s="4"/>
      <c r="Q25" s="4"/>
      <c r="R25" s="4"/>
      <c r="S25" s="4"/>
      <c r="T25" s="4"/>
      <c r="U25" s="4"/>
      <c r="V25" s="4"/>
      <c r="W25" s="4"/>
      <c r="X25" s="4"/>
      <c r="Y25" s="4"/>
      <c r="Z25" s="4"/>
    </row>
    <row r="26" ht="15.75" customHeight="1">
      <c r="A26" s="4"/>
      <c r="B26" s="19" t="s">
        <v>163</v>
      </c>
      <c r="C26" s="34">
        <f>OPEX_YoY!D13</f>
        <v>55132</v>
      </c>
      <c r="D26" s="34">
        <f>OPEX_YoY!C13</f>
        <v>53567</v>
      </c>
      <c r="E26" s="36">
        <f>OPEX_YoY!F13</f>
        <v>0.0292157485</v>
      </c>
      <c r="F26" s="4"/>
      <c r="G26" s="4"/>
      <c r="H26" s="4"/>
      <c r="I26" s="4"/>
      <c r="J26" s="4"/>
      <c r="K26" s="4"/>
      <c r="L26" s="4"/>
      <c r="M26" s="4"/>
      <c r="N26" s="4"/>
      <c r="O26" s="4"/>
      <c r="P26" s="4"/>
      <c r="Q26" s="4"/>
      <c r="R26" s="4"/>
      <c r="S26" s="4"/>
      <c r="T26" s="4"/>
      <c r="U26" s="4"/>
      <c r="V26" s="4"/>
      <c r="W26" s="4"/>
      <c r="X26" s="4"/>
      <c r="Y26" s="4"/>
      <c r="Z26" s="4"/>
    </row>
    <row r="27" ht="15.75" customHeight="1">
      <c r="A27" s="4"/>
      <c r="B27" s="19" t="s">
        <v>202</v>
      </c>
      <c r="C27" s="34">
        <f>OPEX_YoY!E25</f>
        <v>54493</v>
      </c>
      <c r="D27" s="34">
        <f>OPEX_YoY!D25</f>
        <v>53046</v>
      </c>
      <c r="E27" s="36">
        <f>OPEX_YoY!E27</f>
        <v>0.02727821136</v>
      </c>
      <c r="F27" s="4"/>
      <c r="G27" s="4"/>
      <c r="H27" s="4"/>
      <c r="I27" s="4"/>
      <c r="J27" s="4"/>
      <c r="K27" s="4"/>
      <c r="L27" s="4"/>
      <c r="M27" s="4"/>
      <c r="N27" s="4"/>
      <c r="O27" s="4"/>
      <c r="P27" s="4"/>
      <c r="Q27" s="4"/>
      <c r="R27" s="4"/>
      <c r="S27" s="4"/>
      <c r="T27" s="4"/>
      <c r="U27" s="4"/>
      <c r="V27" s="4"/>
      <c r="W27" s="4"/>
      <c r="X27" s="4"/>
      <c r="Y27" s="4"/>
      <c r="Z27" s="4"/>
    </row>
    <row r="28" ht="15.75" customHeight="1">
      <c r="A28" s="4"/>
      <c r="B28" s="19" t="s">
        <v>208</v>
      </c>
      <c r="C28" s="36">
        <f>Dashboard!D12</f>
        <v>0.646899384</v>
      </c>
      <c r="D28" s="36">
        <f>Dashboard!C12</f>
        <v>0.6635985233</v>
      </c>
      <c r="E28" s="4"/>
      <c r="F28" s="4"/>
      <c r="G28" s="4"/>
      <c r="H28" s="4"/>
      <c r="I28" s="4"/>
      <c r="J28" s="4"/>
      <c r="K28" s="4"/>
      <c r="L28" s="4"/>
      <c r="M28" s="4"/>
      <c r="N28" s="4"/>
      <c r="O28" s="4"/>
      <c r="P28" s="4"/>
      <c r="Q28" s="4"/>
      <c r="R28" s="4"/>
      <c r="S28" s="4"/>
      <c r="T28" s="4"/>
      <c r="U28" s="4"/>
      <c r="V28" s="4"/>
      <c r="W28" s="4"/>
      <c r="X28" s="4"/>
      <c r="Y28" s="4"/>
      <c r="Z28" s="4"/>
    </row>
    <row r="29" ht="15.75" customHeight="1">
      <c r="A29" s="4"/>
      <c r="B29" s="19" t="s">
        <v>210</v>
      </c>
      <c r="C29" s="34">
        <f>Variance!E5</f>
        <v>226000</v>
      </c>
      <c r="D29" s="34">
        <f>Variance!D5</f>
        <v>229000</v>
      </c>
      <c r="E29" s="36">
        <f>Variance!E5/Variance!D5-1</f>
        <v>-0.01310043668</v>
      </c>
      <c r="F29" s="4"/>
      <c r="G29" s="4"/>
      <c r="H29" s="4"/>
      <c r="I29" s="4"/>
      <c r="J29" s="4"/>
      <c r="K29" s="4"/>
      <c r="L29" s="4"/>
      <c r="M29" s="4"/>
      <c r="N29" s="4"/>
      <c r="O29" s="4"/>
      <c r="P29" s="4"/>
      <c r="Q29" s="4"/>
      <c r="R29" s="4"/>
      <c r="S29" s="4"/>
      <c r="T29" s="4"/>
      <c r="U29" s="4"/>
      <c r="V29" s="4"/>
      <c r="W29" s="4"/>
      <c r="X29" s="4"/>
      <c r="Y29" s="4"/>
      <c r="Z29" s="4"/>
    </row>
    <row r="30" ht="15.75" customHeight="1">
      <c r="A30" s="4"/>
      <c r="B30" s="19" t="s">
        <v>212</v>
      </c>
      <c r="C30" s="34">
        <f>Variance!E8</f>
        <v>130281.3187</v>
      </c>
      <c r="D30" s="34">
        <f>Variance!D8</f>
        <v>121974.359</v>
      </c>
      <c r="E30" s="36">
        <f>Variance!E10</f>
        <v>0.06810414727</v>
      </c>
      <c r="F30" s="4"/>
      <c r="G30" s="4"/>
      <c r="H30" s="4"/>
      <c r="I30" s="4"/>
      <c r="J30" s="4"/>
      <c r="K30" s="4"/>
      <c r="L30" s="4"/>
      <c r="M30" s="4"/>
      <c r="N30" s="4"/>
      <c r="O30" s="4"/>
      <c r="P30" s="4"/>
      <c r="Q30" s="4"/>
      <c r="R30" s="4"/>
      <c r="S30" s="4"/>
      <c r="T30" s="4"/>
      <c r="U30" s="4"/>
      <c r="V30" s="4"/>
      <c r="W30" s="4"/>
      <c r="X30" s="4"/>
      <c r="Y30" s="4"/>
      <c r="Z30" s="4"/>
    </row>
    <row r="31" ht="15.75" customHeight="1">
      <c r="A31" s="4"/>
      <c r="B31" s="19" t="s">
        <v>214</v>
      </c>
      <c r="C31" s="34">
        <f>Variance!C15</f>
        <v>-792.8333333</v>
      </c>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19" t="s">
        <v>215</v>
      </c>
      <c r="C32" s="34">
        <f>Variance!C16</f>
        <v>1889.833333</v>
      </c>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19" t="s">
        <v>217</v>
      </c>
      <c r="C33" s="47">
        <f>Regulatory!C22</f>
        <v>0.1317752274</v>
      </c>
      <c r="D33" s="47">
        <f>Regulatory!C21</f>
        <v>0.1362847679</v>
      </c>
      <c r="E33" s="47">
        <f>Regulatory!C23</f>
        <v>-0.004509540468</v>
      </c>
      <c r="F33" s="4"/>
      <c r="G33" s="4"/>
      <c r="H33" s="4"/>
      <c r="I33" s="4"/>
      <c r="J33" s="4"/>
      <c r="K33" s="4"/>
      <c r="L33" s="4"/>
      <c r="M33" s="4"/>
      <c r="N33" s="4"/>
      <c r="O33" s="4"/>
      <c r="P33" s="4"/>
      <c r="Q33" s="4"/>
      <c r="R33" s="4"/>
      <c r="S33" s="4"/>
      <c r="T33" s="4"/>
      <c r="U33" s="4"/>
      <c r="V33" s="4"/>
      <c r="W33" s="4"/>
      <c r="X33" s="4"/>
      <c r="Y33" s="4"/>
      <c r="Z33" s="4"/>
    </row>
    <row r="34" ht="15.75" customHeight="1">
      <c r="A34" s="4"/>
      <c r="B34" s="19" t="s">
        <v>221</v>
      </c>
      <c r="C34" s="47">
        <f>Regulatory!C36</f>
        <v>0.01577522744</v>
      </c>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15" t="s">
        <v>223</v>
      </c>
      <c r="C36" s="17"/>
      <c r="D36" s="17"/>
      <c r="E36" s="17"/>
      <c r="F36" s="17"/>
      <c r="G36" s="4"/>
      <c r="H36" s="4"/>
      <c r="I36" s="4"/>
      <c r="J36" s="4"/>
      <c r="K36" s="4"/>
      <c r="L36" s="4"/>
      <c r="M36" s="4"/>
      <c r="N36" s="4"/>
      <c r="O36" s="4"/>
      <c r="P36" s="4"/>
      <c r="Q36" s="4"/>
      <c r="R36" s="4"/>
      <c r="S36" s="4"/>
      <c r="T36" s="4"/>
      <c r="U36" s="4"/>
      <c r="V36" s="4"/>
      <c r="W36" s="4"/>
      <c r="X36" s="4"/>
      <c r="Y36" s="4"/>
      <c r="Z36" s="4"/>
    </row>
    <row r="37" ht="15.75" customHeight="1">
      <c r="A37" s="4"/>
      <c r="B37" s="13" t="s">
        <v>224</v>
      </c>
      <c r="C37" s="16" t="s">
        <v>7</v>
      </c>
      <c r="D37" s="16" t="s">
        <v>225</v>
      </c>
      <c r="E37" s="16" t="s">
        <v>227</v>
      </c>
      <c r="F37" s="4"/>
      <c r="G37" s="4"/>
      <c r="H37" s="4"/>
      <c r="I37" s="4"/>
      <c r="J37" s="4"/>
      <c r="K37" s="4"/>
      <c r="L37" s="4"/>
      <c r="M37" s="4"/>
      <c r="N37" s="4"/>
      <c r="O37" s="4"/>
      <c r="P37" s="4"/>
      <c r="Q37" s="4"/>
      <c r="R37" s="4"/>
      <c r="S37" s="4"/>
      <c r="T37" s="4"/>
      <c r="U37" s="4"/>
      <c r="V37" s="4"/>
      <c r="W37" s="4"/>
      <c r="X37" s="4"/>
      <c r="Y37" s="4"/>
      <c r="Z37" s="4"/>
    </row>
    <row r="38" ht="27.75" customHeight="1">
      <c r="A38" s="4"/>
      <c r="B38" s="19" t="s">
        <v>228</v>
      </c>
      <c r="C38" s="50">
        <f>OPEX_YoY!D14</f>
        <v>0</v>
      </c>
      <c r="D38" s="52" t="str">
        <f t="shared" ref="D38:D42" si="1">IF(ROUND(C38,1)=0,"PASS","FAIL")</f>
        <v>PASS</v>
      </c>
      <c r="E38" s="22" t="s">
        <v>231</v>
      </c>
      <c r="F38" s="4"/>
      <c r="G38" s="4"/>
      <c r="H38" s="4"/>
      <c r="I38" s="4"/>
      <c r="J38" s="4"/>
      <c r="K38" s="4"/>
      <c r="L38" s="4"/>
      <c r="M38" s="4"/>
      <c r="N38" s="4"/>
      <c r="O38" s="4"/>
      <c r="P38" s="4"/>
      <c r="Q38" s="4"/>
      <c r="R38" s="4"/>
      <c r="S38" s="4"/>
      <c r="T38" s="4"/>
      <c r="U38" s="4"/>
      <c r="V38" s="4"/>
      <c r="W38" s="4"/>
      <c r="X38" s="4"/>
      <c r="Y38" s="4"/>
      <c r="Z38" s="4"/>
    </row>
    <row r="39" ht="27.75" customHeight="1">
      <c r="A39" s="4"/>
      <c r="B39" s="19" t="s">
        <v>233</v>
      </c>
      <c r="C39" s="50">
        <f>OPEX_YoY!C14</f>
        <v>0</v>
      </c>
      <c r="D39" s="52" t="str">
        <f t="shared" si="1"/>
        <v>PASS</v>
      </c>
      <c r="E39" s="22" t="s">
        <v>235</v>
      </c>
      <c r="F39" s="4"/>
      <c r="G39" s="4"/>
      <c r="H39" s="4"/>
      <c r="I39" s="4"/>
      <c r="J39" s="4"/>
      <c r="K39" s="4"/>
      <c r="L39" s="4"/>
      <c r="M39" s="4"/>
      <c r="N39" s="4"/>
      <c r="O39" s="4"/>
      <c r="P39" s="4"/>
      <c r="Q39" s="4"/>
      <c r="R39" s="4"/>
      <c r="S39" s="4"/>
      <c r="T39" s="4"/>
      <c r="U39" s="4"/>
      <c r="V39" s="4"/>
      <c r="W39" s="4"/>
      <c r="X39" s="4"/>
      <c r="Y39" s="4"/>
      <c r="Z39" s="4"/>
    </row>
    <row r="40" ht="27.75" customHeight="1">
      <c r="A40" s="4"/>
      <c r="B40" s="19" t="s">
        <v>237</v>
      </c>
      <c r="C40" s="50">
        <f>Variance!C29</f>
        <v>0</v>
      </c>
      <c r="D40" s="52" t="str">
        <f t="shared" si="1"/>
        <v>PASS</v>
      </c>
      <c r="E40" s="22" t="s">
        <v>239</v>
      </c>
      <c r="F40" s="4"/>
      <c r="G40" s="4"/>
      <c r="H40" s="4"/>
      <c r="I40" s="4"/>
      <c r="J40" s="4"/>
      <c r="K40" s="4"/>
      <c r="L40" s="4"/>
      <c r="M40" s="4"/>
      <c r="N40" s="4"/>
      <c r="O40" s="4"/>
      <c r="P40" s="4"/>
      <c r="Q40" s="4"/>
      <c r="R40" s="4"/>
      <c r="S40" s="4"/>
      <c r="T40" s="4"/>
      <c r="U40" s="4"/>
      <c r="V40" s="4"/>
      <c r="W40" s="4"/>
      <c r="X40" s="4"/>
      <c r="Y40" s="4"/>
      <c r="Z40" s="4"/>
    </row>
    <row r="41" ht="27.75" customHeight="1">
      <c r="A41" s="4"/>
      <c r="B41" s="19" t="s">
        <v>240</v>
      </c>
      <c r="C41" s="50">
        <f>Variance!C18</f>
        <v>0</v>
      </c>
      <c r="D41" s="52" t="str">
        <f t="shared" si="1"/>
        <v>PASS</v>
      </c>
      <c r="E41" s="22" t="s">
        <v>242</v>
      </c>
      <c r="F41" s="4"/>
      <c r="G41" s="4"/>
      <c r="H41" s="4"/>
      <c r="I41" s="4"/>
      <c r="J41" s="4"/>
      <c r="K41" s="4"/>
      <c r="L41" s="4"/>
      <c r="M41" s="4"/>
      <c r="N41" s="4"/>
      <c r="O41" s="4"/>
      <c r="P41" s="4"/>
      <c r="Q41" s="4"/>
      <c r="R41" s="4"/>
      <c r="S41" s="4"/>
      <c r="T41" s="4"/>
      <c r="U41" s="4"/>
      <c r="V41" s="4"/>
      <c r="W41" s="4"/>
      <c r="X41" s="4"/>
      <c r="Y41" s="4"/>
      <c r="Z41" s="4"/>
    </row>
    <row r="42" ht="27.75" customHeight="1">
      <c r="A42" s="4"/>
      <c r="B42" s="19" t="s">
        <v>243</v>
      </c>
      <c r="C42" s="50">
        <f>Variance!C37</f>
        <v>0</v>
      </c>
      <c r="D42" s="52" t="str">
        <f t="shared" si="1"/>
        <v>PASS</v>
      </c>
      <c r="E42" s="22" t="s">
        <v>244</v>
      </c>
      <c r="F42" s="4"/>
      <c r="G42" s="4"/>
      <c r="H42" s="4"/>
      <c r="I42" s="4"/>
      <c r="J42" s="4"/>
      <c r="K42" s="4"/>
      <c r="L42" s="4"/>
      <c r="M42" s="4"/>
      <c r="N42" s="4"/>
      <c r="O42" s="4"/>
      <c r="P42" s="4"/>
      <c r="Q42" s="4"/>
      <c r="R42" s="4"/>
      <c r="S42" s="4"/>
      <c r="T42" s="4"/>
      <c r="U42" s="4"/>
      <c r="V42" s="4"/>
      <c r="W42" s="4"/>
      <c r="X42" s="4"/>
      <c r="Y42" s="4"/>
      <c r="Z42" s="4"/>
    </row>
    <row r="43" ht="27.75" customHeight="1">
      <c r="A43" s="4"/>
      <c r="B43" s="19" t="s">
        <v>245</v>
      </c>
      <c r="C43" s="47">
        <f>Regulatory!C28</f>
        <v>-0.0002247725584</v>
      </c>
      <c r="D43" s="57" t="str">
        <f>IF(ABS(C43)&lt;=Inputs!$B$5,"PASS","FAIL")</f>
        <v>PASS</v>
      </c>
      <c r="E43" s="22" t="s">
        <v>246</v>
      </c>
      <c r="F43" s="4"/>
      <c r="G43" s="4"/>
      <c r="H43" s="4"/>
      <c r="I43" s="4"/>
      <c r="J43" s="4"/>
      <c r="K43" s="4"/>
      <c r="L43" s="4"/>
      <c r="M43" s="4"/>
      <c r="N43" s="4"/>
      <c r="O43" s="4"/>
      <c r="P43" s="4"/>
      <c r="Q43" s="4"/>
      <c r="R43" s="4"/>
      <c r="S43" s="4"/>
      <c r="T43" s="4"/>
      <c r="U43" s="4"/>
      <c r="V43" s="4"/>
      <c r="W43" s="4"/>
      <c r="X43" s="4"/>
      <c r="Y43" s="4"/>
      <c r="Z43" s="4"/>
    </row>
    <row r="44" ht="27.75" customHeight="1">
      <c r="A44" s="4"/>
      <c r="B44" s="19" t="s">
        <v>247</v>
      </c>
      <c r="C44" s="47">
        <f>Regulatory!C34-Regulatory!C35</f>
        <v>0</v>
      </c>
      <c r="D44" s="52" t="str">
        <f>IF(ROUND(C44,4)=0,"PASS","FAIL")</f>
        <v>PASS</v>
      </c>
      <c r="E44" s="22" t="s">
        <v>248</v>
      </c>
      <c r="F44" s="4"/>
      <c r="G44" s="4"/>
      <c r="H44" s="4"/>
      <c r="I44" s="4"/>
      <c r="J44" s="4"/>
      <c r="K44" s="4"/>
      <c r="L44" s="4"/>
      <c r="M44" s="4"/>
      <c r="N44" s="4"/>
      <c r="O44" s="4"/>
      <c r="P44" s="4"/>
      <c r="Q44" s="4"/>
      <c r="R44" s="4"/>
      <c r="S44" s="4"/>
      <c r="T44" s="4"/>
      <c r="U44" s="4"/>
      <c r="V44" s="4"/>
      <c r="W44" s="4"/>
      <c r="X44" s="4"/>
      <c r="Y44" s="4"/>
      <c r="Z44" s="4"/>
    </row>
    <row r="45" ht="27.75" customHeight="1">
      <c r="A45" s="4"/>
      <c r="B45" s="19" t="s">
        <v>249</v>
      </c>
      <c r="C45" s="47">
        <f>Regulatory!C38</f>
        <v>-0.0002247725584</v>
      </c>
      <c r="D45" s="57" t="str">
        <f>IF(ABS(C45)&lt;=Inputs!$B$5,"PASS","FAIL")</f>
        <v>PASS</v>
      </c>
      <c r="E45" s="22" t="s">
        <v>250</v>
      </c>
      <c r="F45" s="4"/>
      <c r="G45" s="4"/>
      <c r="H45" s="4"/>
      <c r="I45" s="4"/>
      <c r="J45" s="4"/>
      <c r="K45" s="4"/>
      <c r="L45" s="4"/>
      <c r="M45" s="4"/>
      <c r="N45" s="4"/>
      <c r="O45" s="4"/>
      <c r="P45" s="4"/>
      <c r="Q45" s="4"/>
      <c r="R45" s="4"/>
      <c r="S45" s="4"/>
      <c r="T45" s="4"/>
      <c r="U45" s="4"/>
      <c r="V45" s="4"/>
      <c r="W45" s="4"/>
      <c r="X45" s="4"/>
      <c r="Y45" s="4"/>
      <c r="Z45" s="4"/>
    </row>
    <row r="46" ht="27.75" customHeight="1">
      <c r="A46" s="4"/>
      <c r="B46" s="19" t="s">
        <v>251</v>
      </c>
      <c r="C46" s="50">
        <f>Regulatory!C26</f>
        <v>0</v>
      </c>
      <c r="D46" s="52" t="str">
        <f>IF(ROUND(C46,1)=0,"PASS","FAIL")</f>
        <v>PASS</v>
      </c>
      <c r="E46" s="22" t="s">
        <v>252</v>
      </c>
      <c r="F46" s="4"/>
      <c r="G46" s="4"/>
      <c r="H46" s="4"/>
      <c r="I46" s="4"/>
      <c r="J46" s="4"/>
      <c r="K46" s="4"/>
      <c r="L46" s="4"/>
      <c r="M46" s="4"/>
      <c r="N46" s="4"/>
      <c r="O46" s="4"/>
      <c r="P46" s="4"/>
      <c r="Q46" s="4"/>
      <c r="R46" s="4"/>
      <c r="S46" s="4"/>
      <c r="T46" s="4"/>
      <c r="U46" s="4"/>
      <c r="V46" s="4"/>
      <c r="W46" s="4"/>
      <c r="X46" s="4"/>
      <c r="Y46" s="4"/>
      <c r="Z46" s="4"/>
    </row>
    <row r="47" ht="27.75" customHeight="1">
      <c r="A47" s="4"/>
      <c r="B47" s="19" t="s">
        <v>253</v>
      </c>
      <c r="C47" s="47">
        <f>OPEX_YoY!E35</f>
        <v>0.0001102941176</v>
      </c>
      <c r="D47" s="57" t="str">
        <f>IF(ABS(C47)&lt;=Inputs!$B$6,"PASS","FAIL")</f>
        <v>PASS</v>
      </c>
      <c r="E47" s="22" t="s">
        <v>254</v>
      </c>
      <c r="F47" s="4"/>
      <c r="G47" s="4"/>
      <c r="H47" s="4"/>
      <c r="I47" s="4"/>
      <c r="J47" s="4"/>
      <c r="K47" s="4"/>
      <c r="L47" s="4"/>
      <c r="M47" s="4"/>
      <c r="N47" s="4"/>
      <c r="O47" s="4"/>
      <c r="P47" s="4"/>
      <c r="Q47" s="4"/>
      <c r="R47" s="4"/>
      <c r="S47" s="4"/>
      <c r="T47" s="4"/>
      <c r="U47" s="4"/>
      <c r="V47" s="4"/>
      <c r="W47" s="4"/>
      <c r="X47" s="4"/>
      <c r="Y47" s="4"/>
      <c r="Z47" s="4"/>
    </row>
    <row r="48" ht="27.75" customHeight="1">
      <c r="A48" s="4"/>
      <c r="B48" s="19" t="s">
        <v>255</v>
      </c>
      <c r="C48" s="47">
        <f>-Dashboard!E12-RAW_Data!$C$48</f>
        <v>-0.0003008606566</v>
      </c>
      <c r="D48" s="57" t="str">
        <f>IF(ABS(C48)&lt;=Inputs!$B$5,"PASS","FAIL")</f>
        <v>PASS</v>
      </c>
      <c r="E48" s="22" t="s">
        <v>256</v>
      </c>
      <c r="F48" s="4"/>
      <c r="G48" s="4"/>
      <c r="H48" s="4"/>
      <c r="I48" s="4"/>
      <c r="J48" s="4"/>
      <c r="K48" s="4"/>
      <c r="L48" s="4"/>
      <c r="M48" s="4"/>
      <c r="N48" s="4"/>
      <c r="O48" s="4"/>
      <c r="P48" s="4"/>
      <c r="Q48" s="4"/>
      <c r="R48" s="4"/>
      <c r="S48" s="4"/>
      <c r="T48" s="4"/>
      <c r="U48" s="4"/>
      <c r="V48" s="4"/>
      <c r="W48" s="4"/>
      <c r="X48" s="4"/>
      <c r="Y48" s="4"/>
      <c r="Z48" s="4"/>
    </row>
    <row r="49" ht="15.75" customHeight="1">
      <c r="A49" s="4"/>
      <c r="B49" s="52" t="s">
        <v>257</v>
      </c>
      <c r="C49" s="4"/>
      <c r="D49" s="52" t="str">
        <f>IF(COUNTIF(D38:D48,"FAIL")=0,"All pass",COUNTIF(D38:D48,"FAIL")&amp;" FAIL")</f>
        <v>All pass</v>
      </c>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15" t="s">
        <v>258</v>
      </c>
      <c r="C51" s="17"/>
      <c r="D51" s="17"/>
      <c r="E51" s="17"/>
      <c r="F51" s="17"/>
      <c r="G51" s="4"/>
      <c r="H51" s="4"/>
      <c r="I51" s="4"/>
      <c r="J51" s="4"/>
      <c r="K51" s="4"/>
      <c r="L51" s="4"/>
      <c r="M51" s="4"/>
      <c r="N51" s="4"/>
      <c r="O51" s="4"/>
      <c r="P51" s="4"/>
      <c r="Q51" s="4"/>
      <c r="R51" s="4"/>
      <c r="S51" s="4"/>
      <c r="T51" s="4"/>
      <c r="U51" s="4"/>
      <c r="V51" s="4"/>
      <c r="W51" s="4"/>
      <c r="X51" s="4"/>
      <c r="Y51" s="4"/>
      <c r="Z51" s="4"/>
    </row>
    <row r="52" ht="27.0" customHeight="1">
      <c r="A52" s="4"/>
      <c r="B52" s="22" t="s">
        <v>259</v>
      </c>
      <c r="G52" s="4"/>
      <c r="H52" s="4"/>
      <c r="I52" s="4"/>
      <c r="J52" s="4"/>
      <c r="K52" s="4"/>
      <c r="L52" s="4"/>
      <c r="M52" s="4"/>
      <c r="N52" s="4"/>
      <c r="O52" s="4"/>
      <c r="P52" s="4"/>
      <c r="Q52" s="4"/>
      <c r="R52" s="4"/>
      <c r="S52" s="4"/>
      <c r="T52" s="4"/>
      <c r="U52" s="4"/>
      <c r="V52" s="4"/>
      <c r="W52" s="4"/>
      <c r="X52" s="4"/>
      <c r="Y52" s="4"/>
      <c r="Z52" s="4"/>
    </row>
    <row r="53" ht="40.5" customHeight="1">
      <c r="A53" s="4"/>
      <c r="B53" s="22" t="s">
        <v>260</v>
      </c>
      <c r="G53" s="4"/>
      <c r="H53" s="4"/>
      <c r="I53" s="4"/>
      <c r="J53" s="4"/>
      <c r="K53" s="4"/>
      <c r="L53" s="4"/>
      <c r="M53" s="4"/>
      <c r="N53" s="4"/>
      <c r="O53" s="4"/>
      <c r="P53" s="4"/>
      <c r="Q53" s="4"/>
      <c r="R53" s="4"/>
      <c r="S53" s="4"/>
      <c r="T53" s="4"/>
      <c r="U53" s="4"/>
      <c r="V53" s="4"/>
      <c r="W53" s="4"/>
      <c r="X53" s="4"/>
      <c r="Y53" s="4"/>
      <c r="Z53" s="4"/>
    </row>
    <row r="54" ht="40.5" customHeight="1">
      <c r="A54" s="4"/>
      <c r="B54" s="22" t="s">
        <v>261</v>
      </c>
      <c r="G54" s="4"/>
      <c r="H54" s="4"/>
      <c r="I54" s="4"/>
      <c r="J54" s="4"/>
      <c r="K54" s="4"/>
      <c r="L54" s="4"/>
      <c r="M54" s="4"/>
      <c r="N54" s="4"/>
      <c r="O54" s="4"/>
      <c r="P54" s="4"/>
      <c r="Q54" s="4"/>
      <c r="R54" s="4"/>
      <c r="S54" s="4"/>
      <c r="T54" s="4"/>
      <c r="U54" s="4"/>
      <c r="V54" s="4"/>
      <c r="W54" s="4"/>
      <c r="X54" s="4"/>
      <c r="Y54" s="4"/>
      <c r="Z54" s="4"/>
    </row>
    <row r="55" ht="40.5" customHeight="1">
      <c r="A55" s="4"/>
      <c r="B55" s="22" t="s">
        <v>262</v>
      </c>
      <c r="G55" s="4"/>
      <c r="H55" s="4"/>
      <c r="I55" s="4"/>
      <c r="J55" s="4"/>
      <c r="K55" s="4"/>
      <c r="L55" s="4"/>
      <c r="M55" s="4"/>
      <c r="N55" s="4"/>
      <c r="O55" s="4"/>
      <c r="P55" s="4"/>
      <c r="Q55" s="4"/>
      <c r="R55" s="4"/>
      <c r="S55" s="4"/>
      <c r="T55" s="4"/>
      <c r="U55" s="4"/>
      <c r="V55" s="4"/>
      <c r="W55" s="4"/>
      <c r="X55" s="4"/>
      <c r="Y55" s="4"/>
      <c r="Z55" s="4"/>
    </row>
    <row r="56" ht="27.0" customHeight="1">
      <c r="A56" s="4"/>
      <c r="B56" s="22" t="s">
        <v>263</v>
      </c>
      <c r="G56" s="4"/>
      <c r="H56" s="4"/>
      <c r="I56" s="4"/>
      <c r="J56" s="4"/>
      <c r="K56" s="4"/>
      <c r="L56" s="4"/>
      <c r="M56" s="4"/>
      <c r="N56" s="4"/>
      <c r="O56" s="4"/>
      <c r="P56" s="4"/>
      <c r="Q56" s="4"/>
      <c r="R56" s="4"/>
      <c r="S56" s="4"/>
      <c r="T56" s="4"/>
      <c r="U56" s="4"/>
      <c r="V56" s="4"/>
      <c r="W56" s="4"/>
      <c r="X56" s="4"/>
      <c r="Y56" s="4"/>
      <c r="Z56" s="4"/>
    </row>
    <row r="57" ht="13.5" customHeight="1">
      <c r="A57" s="4"/>
      <c r="B57" s="58" t="s">
        <v>264</v>
      </c>
      <c r="G57" s="4"/>
      <c r="H57" s="4"/>
      <c r="I57" s="4"/>
      <c r="J57" s="4"/>
      <c r="K57" s="4"/>
      <c r="L57" s="4"/>
      <c r="M57" s="4"/>
      <c r="N57" s="4"/>
      <c r="O57" s="4"/>
      <c r="P57" s="4"/>
      <c r="Q57" s="4"/>
      <c r="R57" s="4"/>
      <c r="S57" s="4"/>
      <c r="T57" s="4"/>
      <c r="U57" s="4"/>
      <c r="V57" s="4"/>
      <c r="W57" s="4"/>
      <c r="X57" s="4"/>
      <c r="Y57" s="4"/>
      <c r="Z57" s="4"/>
    </row>
    <row r="58" ht="27.0" customHeight="1">
      <c r="A58" s="4"/>
      <c r="B58" s="58" t="s">
        <v>266</v>
      </c>
      <c r="G58" s="4"/>
      <c r="H58" s="4"/>
      <c r="I58" s="4"/>
      <c r="J58" s="4"/>
      <c r="K58" s="4"/>
      <c r="L58" s="4"/>
      <c r="M58" s="4"/>
      <c r="N58" s="4"/>
      <c r="O58" s="4"/>
      <c r="P58" s="4"/>
      <c r="Q58" s="4"/>
      <c r="R58" s="4"/>
      <c r="S58" s="4"/>
      <c r="T58" s="4"/>
      <c r="U58" s="4"/>
      <c r="V58" s="4"/>
      <c r="W58" s="4"/>
      <c r="X58" s="4"/>
      <c r="Y58" s="4"/>
      <c r="Z58" s="4"/>
    </row>
    <row r="59" ht="27.0" customHeight="1">
      <c r="A59" s="4"/>
      <c r="B59" s="58" t="s">
        <v>268</v>
      </c>
      <c r="G59" s="4"/>
      <c r="H59" s="4"/>
      <c r="I59" s="4"/>
      <c r="J59" s="4"/>
      <c r="K59" s="4"/>
      <c r="L59" s="4"/>
      <c r="M59" s="4"/>
      <c r="N59" s="4"/>
      <c r="O59" s="4"/>
      <c r="P59" s="4"/>
      <c r="Q59" s="4"/>
      <c r="R59" s="4"/>
      <c r="S59" s="4"/>
      <c r="T59" s="4"/>
      <c r="U59" s="4"/>
      <c r="V59" s="4"/>
      <c r="W59" s="4"/>
      <c r="X59" s="4"/>
      <c r="Y59" s="4"/>
      <c r="Z59" s="4"/>
    </row>
    <row r="60" ht="27.0" customHeight="1">
      <c r="A60" s="4"/>
      <c r="B60" s="58" t="s">
        <v>270</v>
      </c>
      <c r="G60" s="4"/>
      <c r="H60" s="4"/>
      <c r="I60" s="4"/>
      <c r="J60" s="4"/>
      <c r="K60" s="4"/>
      <c r="L60" s="4"/>
      <c r="M60" s="4"/>
      <c r="N60" s="4"/>
      <c r="O60" s="4"/>
      <c r="P60" s="4"/>
      <c r="Q60" s="4"/>
      <c r="R60" s="4"/>
      <c r="S60" s="4"/>
      <c r="T60" s="4"/>
      <c r="U60" s="4"/>
      <c r="V60" s="4"/>
      <c r="W60" s="4"/>
      <c r="X60" s="4"/>
      <c r="Y60" s="4"/>
      <c r="Z60" s="4"/>
    </row>
    <row r="61" ht="27.0" customHeight="1">
      <c r="A61" s="4"/>
      <c r="B61" s="58" t="s">
        <v>271</v>
      </c>
      <c r="G61" s="4"/>
      <c r="H61" s="4"/>
      <c r="I61" s="4"/>
      <c r="J61" s="4"/>
      <c r="K61" s="4"/>
      <c r="L61" s="4"/>
      <c r="M61" s="4"/>
      <c r="N61" s="4"/>
      <c r="O61" s="4"/>
      <c r="P61" s="4"/>
      <c r="Q61" s="4"/>
      <c r="R61" s="4"/>
      <c r="S61" s="4"/>
      <c r="T61" s="4"/>
      <c r="U61" s="4"/>
      <c r="V61" s="4"/>
      <c r="W61" s="4"/>
      <c r="X61" s="4"/>
      <c r="Y61" s="4"/>
      <c r="Z61" s="4"/>
    </row>
    <row r="62" ht="27.0" customHeight="1">
      <c r="A62" s="4"/>
      <c r="B62" s="22" t="s">
        <v>273</v>
      </c>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15" t="s">
        <v>274</v>
      </c>
      <c r="C64" s="17"/>
      <c r="D64" s="17"/>
      <c r="E64" s="17"/>
      <c r="F64" s="17"/>
      <c r="G64" s="4"/>
      <c r="H64" s="4"/>
      <c r="I64" s="4"/>
      <c r="J64" s="4"/>
      <c r="K64" s="4"/>
      <c r="L64" s="4"/>
      <c r="M64" s="4"/>
      <c r="N64" s="4"/>
      <c r="O64" s="4"/>
      <c r="P64" s="4"/>
      <c r="Q64" s="4"/>
      <c r="R64" s="4"/>
      <c r="S64" s="4"/>
      <c r="T64" s="4"/>
      <c r="U64" s="4"/>
      <c r="V64" s="4"/>
      <c r="W64" s="4"/>
      <c r="X64" s="4"/>
      <c r="Y64" s="4"/>
      <c r="Z64" s="4"/>
    </row>
    <row r="65" ht="15.75" customHeight="1">
      <c r="A65" s="4"/>
      <c r="B65" s="25" t="s">
        <v>5</v>
      </c>
      <c r="C65" s="26" t="s">
        <v>275</v>
      </c>
      <c r="D65" s="26" t="s">
        <v>276</v>
      </c>
      <c r="E65" s="26" t="s">
        <v>278</v>
      </c>
      <c r="F65" s="4"/>
      <c r="G65" s="4"/>
      <c r="H65" s="4"/>
      <c r="I65" s="4"/>
      <c r="J65" s="4"/>
      <c r="K65" s="4"/>
      <c r="L65" s="4"/>
      <c r="M65" s="4"/>
      <c r="N65" s="4"/>
      <c r="O65" s="4"/>
      <c r="P65" s="4"/>
      <c r="Q65" s="4"/>
      <c r="R65" s="4"/>
      <c r="S65" s="4"/>
      <c r="T65" s="4"/>
      <c r="U65" s="4"/>
      <c r="V65" s="4"/>
      <c r="W65" s="4"/>
      <c r="X65" s="4"/>
      <c r="Y65" s="4"/>
      <c r="Z65" s="4"/>
    </row>
    <row r="66" ht="42.0" customHeight="1">
      <c r="A66" s="4"/>
      <c r="B66" s="22" t="s">
        <v>279</v>
      </c>
      <c r="C66" s="22" t="s">
        <v>280</v>
      </c>
      <c r="D66" s="22" t="s">
        <v>281</v>
      </c>
      <c r="E66" s="22" t="s">
        <v>282</v>
      </c>
      <c r="F66" s="4"/>
      <c r="G66" s="4"/>
      <c r="H66" s="4"/>
      <c r="I66" s="4"/>
      <c r="J66" s="4"/>
      <c r="K66" s="4"/>
      <c r="L66" s="4"/>
      <c r="M66" s="4"/>
      <c r="N66" s="4"/>
      <c r="O66" s="4"/>
      <c r="P66" s="4"/>
      <c r="Q66" s="4"/>
      <c r="R66" s="4"/>
      <c r="S66" s="4"/>
      <c r="T66" s="4"/>
      <c r="U66" s="4"/>
      <c r="V66" s="4"/>
      <c r="W66" s="4"/>
      <c r="X66" s="4"/>
      <c r="Y66" s="4"/>
      <c r="Z66" s="4"/>
    </row>
    <row r="67" ht="42.0" customHeight="1">
      <c r="A67" s="4"/>
      <c r="B67" s="22" t="s">
        <v>284</v>
      </c>
      <c r="C67" s="22" t="s">
        <v>285</v>
      </c>
      <c r="D67" s="22" t="s">
        <v>286</v>
      </c>
      <c r="E67" s="22" t="s">
        <v>287</v>
      </c>
      <c r="F67" s="4"/>
      <c r="G67" s="4"/>
      <c r="H67" s="4"/>
      <c r="I67" s="4"/>
      <c r="J67" s="4"/>
      <c r="K67" s="4"/>
      <c r="L67" s="4"/>
      <c r="M67" s="4"/>
      <c r="N67" s="4"/>
      <c r="O67" s="4"/>
      <c r="P67" s="4"/>
      <c r="Q67" s="4"/>
      <c r="R67" s="4"/>
      <c r="S67" s="4"/>
      <c r="T67" s="4"/>
      <c r="U67" s="4"/>
      <c r="V67" s="4"/>
      <c r="W67" s="4"/>
      <c r="X67" s="4"/>
      <c r="Y67" s="4"/>
      <c r="Z67" s="4"/>
    </row>
    <row r="68" ht="42.0" customHeight="1">
      <c r="A68" s="4"/>
      <c r="B68" s="22" t="s">
        <v>289</v>
      </c>
      <c r="C68" s="22" t="s">
        <v>290</v>
      </c>
      <c r="D68" s="22" t="s">
        <v>291</v>
      </c>
      <c r="E68" s="22" t="s">
        <v>292</v>
      </c>
      <c r="F68" s="4"/>
      <c r="G68" s="4"/>
      <c r="H68" s="4"/>
      <c r="I68" s="4"/>
      <c r="J68" s="4"/>
      <c r="K68" s="4"/>
      <c r="L68" s="4"/>
      <c r="M68" s="4"/>
      <c r="N68" s="4"/>
      <c r="O68" s="4"/>
      <c r="P68" s="4"/>
      <c r="Q68" s="4"/>
      <c r="R68" s="4"/>
      <c r="S68" s="4"/>
      <c r="T68" s="4"/>
      <c r="U68" s="4"/>
      <c r="V68" s="4"/>
      <c r="W68" s="4"/>
      <c r="X68" s="4"/>
      <c r="Y68" s="4"/>
      <c r="Z68" s="4"/>
    </row>
    <row r="69" ht="42.0" customHeight="1">
      <c r="A69" s="4"/>
      <c r="B69" s="22" t="s">
        <v>294</v>
      </c>
      <c r="C69" s="22" t="s">
        <v>295</v>
      </c>
      <c r="D69" s="22" t="s">
        <v>296</v>
      </c>
      <c r="E69" s="22" t="s">
        <v>297</v>
      </c>
      <c r="F69" s="4"/>
      <c r="G69" s="4"/>
      <c r="H69" s="4"/>
      <c r="I69" s="4"/>
      <c r="J69" s="4"/>
      <c r="K69" s="4"/>
      <c r="L69" s="4"/>
      <c r="M69" s="4"/>
      <c r="N69" s="4"/>
      <c r="O69" s="4"/>
      <c r="P69" s="4"/>
      <c r="Q69" s="4"/>
      <c r="R69" s="4"/>
      <c r="S69" s="4"/>
      <c r="T69" s="4"/>
      <c r="U69" s="4"/>
      <c r="V69" s="4"/>
      <c r="W69" s="4"/>
      <c r="X69" s="4"/>
      <c r="Y69" s="4"/>
      <c r="Z69" s="4"/>
    </row>
    <row r="70" ht="42.0" customHeight="1">
      <c r="A70" s="4"/>
      <c r="B70" s="22" t="s">
        <v>201</v>
      </c>
      <c r="C70" s="22" t="s">
        <v>298</v>
      </c>
      <c r="D70" s="58" t="s">
        <v>299</v>
      </c>
      <c r="E70" s="58" t="s">
        <v>300</v>
      </c>
      <c r="F70" s="4"/>
      <c r="G70" s="4"/>
      <c r="H70" s="4"/>
      <c r="I70" s="4"/>
      <c r="J70" s="4"/>
      <c r="K70" s="4"/>
      <c r="L70" s="4"/>
      <c r="M70" s="4"/>
      <c r="N70" s="4"/>
      <c r="O70" s="4"/>
      <c r="P70" s="4"/>
      <c r="Q70" s="4"/>
      <c r="R70" s="4"/>
      <c r="S70" s="4"/>
      <c r="T70" s="4"/>
      <c r="U70" s="4"/>
      <c r="V70" s="4"/>
      <c r="W70" s="4"/>
      <c r="X70" s="4"/>
      <c r="Y70" s="4"/>
      <c r="Z70" s="4"/>
    </row>
    <row r="71" ht="42.0" customHeight="1">
      <c r="A71" s="4"/>
      <c r="B71" s="22" t="s">
        <v>303</v>
      </c>
      <c r="C71" s="22" t="s">
        <v>304</v>
      </c>
      <c r="D71" s="22" t="s">
        <v>305</v>
      </c>
      <c r="E71" s="22" t="s">
        <v>306</v>
      </c>
      <c r="F71" s="4"/>
      <c r="G71" s="4"/>
      <c r="H71" s="4"/>
      <c r="I71" s="4"/>
      <c r="J71" s="4"/>
      <c r="K71" s="4"/>
      <c r="L71" s="4"/>
      <c r="M71" s="4"/>
      <c r="N71" s="4"/>
      <c r="O71" s="4"/>
      <c r="P71" s="4"/>
      <c r="Q71" s="4"/>
      <c r="R71" s="4"/>
      <c r="S71" s="4"/>
      <c r="T71" s="4"/>
      <c r="U71" s="4"/>
      <c r="V71" s="4"/>
      <c r="W71" s="4"/>
      <c r="X71" s="4"/>
      <c r="Y71" s="4"/>
      <c r="Z71" s="4"/>
    </row>
    <row r="72" ht="42.0" customHeight="1">
      <c r="A72" s="4"/>
      <c r="B72" s="22" t="s">
        <v>307</v>
      </c>
      <c r="C72" s="22" t="s">
        <v>308</v>
      </c>
      <c r="D72" s="22" t="s">
        <v>309</v>
      </c>
      <c r="E72" s="22" t="s">
        <v>310</v>
      </c>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15" t="s">
        <v>313</v>
      </c>
      <c r="C74" s="17"/>
      <c r="D74" s="17"/>
      <c r="E74" s="17"/>
      <c r="F74" s="17"/>
      <c r="G74" s="4"/>
      <c r="H74" s="4"/>
      <c r="I74" s="4"/>
      <c r="J74" s="4"/>
      <c r="K74" s="4"/>
      <c r="L74" s="4"/>
      <c r="M74" s="4"/>
      <c r="N74" s="4"/>
      <c r="O74" s="4"/>
      <c r="P74" s="4"/>
      <c r="Q74" s="4"/>
      <c r="R74" s="4"/>
      <c r="S74" s="4"/>
      <c r="T74" s="4"/>
      <c r="U74" s="4"/>
      <c r="V74" s="4"/>
      <c r="W74" s="4"/>
      <c r="X74" s="4"/>
      <c r="Y74" s="4"/>
      <c r="Z74" s="4"/>
    </row>
    <row r="75" ht="72.0" customHeight="1">
      <c r="A75" s="4"/>
      <c r="B75" s="22" t="str">
        <f>"1. Reported operating expenses rose $"&amp;TEXT(OPEX_YoY!E13,"#,##0")&amp;"mm ("&amp;TEXT(OPEX_YoY!F13,"0.0%")&amp;") to $"&amp;TEXT(OPEX_YoY!D13,"#,##0")&amp;"mm. On the underlying basis (ex divestiture-related items and the FDIC special assessment) the rise was $"&amp;TEXT(OPEX_YoY!E26,"#,##0")&amp;"mm ("&amp;TEXT(OPEX_YoY!E27,"0.0%")&amp;"). Revenue grew "&amp;TEXT(RAW_Data!$C$2/RAW_Data!$C$14-1,"0.0%")&amp;", so the reported efficiency ratio moved from "&amp;TEXT(Dashboard!C12,"0.0%")&amp;" to "&amp;TEXT(Dashboard!D12,"0.0%")&amp;"."</f>
        <v>1. Reported operating expenses rose $1,565mm (2.9%) to $55,132mm. On the underlying basis (ex divestiture-related items and the FDIC special assessment) the rise was $1,447mm (2.7%). Revenue grew 5.6%, so the reported efficiency ratio moved from 66.4% to 64.7%.</v>
      </c>
      <c r="G75" s="4"/>
      <c r="H75" s="4"/>
      <c r="I75" s="4"/>
      <c r="J75" s="4"/>
      <c r="K75" s="4"/>
      <c r="L75" s="4"/>
      <c r="M75" s="4"/>
      <c r="N75" s="4"/>
      <c r="O75" s="4"/>
      <c r="P75" s="4"/>
      <c r="Q75" s="4"/>
      <c r="R75" s="4"/>
      <c r="S75" s="4"/>
      <c r="T75" s="4"/>
      <c r="U75" s="4"/>
      <c r="V75" s="4"/>
      <c r="W75" s="4"/>
      <c r="X75" s="4"/>
      <c r="Y75" s="4"/>
      <c r="Z75" s="4"/>
    </row>
    <row r="76" ht="72.0" customHeight="1">
      <c r="A76" s="4"/>
      <c r="B76" s="22" t="str">
        <f>"2. Comp and benefits rose $"&amp;TEXT(OPEX_YoY!E4,"#,##0")&amp;"mm while average employees (approximate) fell "&amp;TEXT(-Variance!E9,"0.0%")&amp;". That is a volume effect of "&amp;TEXT(Variance!C15,"#,##0;-#,##0")&amp;"mm and a rate effect of "&amp;TEXT(Variance!C16,"+#,##0;-#,##0")&amp;"mm. The rate effect includes severance, FX and mix, so it is not wage inflation. For scale, Citi cited about $"&amp;TEXT(RAW_Data!$C$11,"#,##0")&amp;"mm of higher severance in Q2 2025 alone, equal to "&amp;TEXT(Variance!C20,"0%")&amp;" of the rate effect."</f>
        <v>2. Comp and benefits rose $1,097mm while average employees (approximate) fell 2.8%. That is a volume effect of -793mm and a rate effect of +1,890mm. The rate effect includes severance, FX and mix, so it is not wage inflation. For scale, Citi cited about $400mm of higher severance in Q2 2025 alone, equal to 21% of the rate effect.</v>
      </c>
      <c r="G76" s="4"/>
      <c r="H76" s="4"/>
      <c r="I76" s="4"/>
      <c r="J76" s="4"/>
      <c r="K76" s="4"/>
      <c r="L76" s="4"/>
      <c r="M76" s="4"/>
      <c r="N76" s="4"/>
      <c r="O76" s="4"/>
      <c r="P76" s="4"/>
      <c r="Q76" s="4"/>
      <c r="R76" s="4"/>
      <c r="S76" s="4"/>
      <c r="T76" s="4"/>
      <c r="U76" s="4"/>
      <c r="V76" s="4"/>
      <c r="W76" s="4"/>
      <c r="X76" s="4"/>
      <c r="Y76" s="4"/>
      <c r="Z76" s="4"/>
    </row>
    <row r="77" ht="72.0" customHeight="1">
      <c r="A77" s="4"/>
      <c r="B77" s="22" t="str">
        <f>"3. Non-people lines excluding restructuring rose $"&amp;TEXT(OPEX_YoY!E16,"#,##0")&amp;"mm ("&amp;TEXT(OPEX_YoY!F16,"0.0%")&amp;"). Citi records the $"&amp;TEXT(RAW_Data!$C$31,"#,##0")&amp;"mm Mexico goodwill impairment in Other expenses; without it those lines rose $"&amp;TEXT(OPEX_YoY!E16-RAW_Data!$C$31,"#,##0")&amp;"mm. Other operating excluding the impairment moved from $"&amp;TEXT(OPEX_YoY!C17,"#,##0")&amp;"mm to $"&amp;TEXT(OPEX_YoY!D17,"#,##0")&amp;"mm ("&amp;TEXT(OPEX_YoY!F17,"0.0%;-0.0%")&amp;"); that line probably also holds the FDIC special assessment swing, which is not confirmed."</f>
        <v>3. Non-people lines excluding restructuring rose $741mm (3.0%). Citi records the $726mm Mexico goodwill impairment in Other expenses; without it those lines rose $15mm. Other operating excluding the impairment moved from $5,726mm to $5,136mm (-10.3%); that line probably also holds the FDIC special assessment swing, which is not confirmed.</v>
      </c>
      <c r="G77" s="4"/>
      <c r="H77" s="4"/>
      <c r="I77" s="4"/>
      <c r="J77" s="4"/>
      <c r="K77" s="4"/>
      <c r="L77" s="4"/>
      <c r="M77" s="4"/>
      <c r="N77" s="4"/>
      <c r="O77" s="4"/>
      <c r="P77" s="4"/>
      <c r="Q77" s="4"/>
      <c r="R77" s="4"/>
      <c r="S77" s="4"/>
      <c r="T77" s="4"/>
      <c r="U77" s="4"/>
      <c r="V77" s="4"/>
      <c r="W77" s="4"/>
      <c r="X77" s="4"/>
      <c r="Y77" s="4"/>
      <c r="Z77" s="4"/>
    </row>
    <row r="78" ht="72.0" customHeight="1">
      <c r="A78" s="4"/>
      <c r="B78" s="22" t="str">
        <f>"4. The CET1 ratio moved from "&amp;TEXT(Regulatory!C21,"0.00%")&amp;" to "&amp;TEXT(Regulatory!C22,"0.00%")&amp;". Arithmetically, RWA growth of $"&amp;TEXT(Regulatory!C17,"#,##0")&amp;"mm ("&amp;TEXT(Regulatory!C18,"0.0%")&amp;") took "&amp;TEXT(Regulatory!C25*10000,"0")&amp;" bps and CET1 capital growth added "&amp;TEXT(Regulatory!C24*10000,"+0")&amp;" bps. Payouts of $"&amp;TEXT(-(Regulatory!C7+Regulatory!C8),"#,##0")&amp;"mm exceeded net income of $"&amp;TEXT(Regulatory!C6,"#,##0")&amp;"mm by $"&amp;TEXT(-(Regulatory!C7+Regulatory!C8)-Regulatory!C6,"#,##0")&amp;"mm, and CET1 capital still rose $"&amp;TEXT(Regulatory!C19,"#,##0")&amp;"mm because other movements added $"&amp;TEXT(Regulatory!C10,"#,##0")&amp;"mm, of which about $"&amp;TEXT(Regulatory!C12,"#,##0")&amp;"mm is the AOCI change. The 10-K attributes the decline mainly to repurchases, dividends and RWA growth. Headroom over the "&amp;TEXT(Regulatory!C34,"0.0%")&amp;" requirement is "&amp;TEXT(Regulatory!C36*100,"0.00")&amp;"pp."</f>
        <v>4. The CET1 ratio moved from 13.63% to 13.18%. Arithmetically, RWA growth of $52,186mm (4.6%) took -60 bps and CET1 capital growth added +15 bps. Payouts of $18,622mm exceeded net income of $14,306mm by $4,316mm, and CET1 capital still rose $1,736mm because other movements added $6,052mm, of which about $5,955mm is the AOCI change. The 10-K attributes the decline mainly to repurchases, dividends and RWA growth. Headroom over the 11.6% requirement is 1.58pp.</v>
      </c>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55.5" customHeight="1">
      <c r="A80" s="4"/>
      <c r="B80" s="68" t="str">
        <f>"Bottom line: reported costs rose because compensation and benefits per head rose (part of it severance) and because of the $"&amp;TEXT(RAW_Data!$C$31,"#,##0")&amp;"mm Mexico goodwill impairment. Headcount was a saving. The annual filing cannot split pay from severance, so it cannot show whether restructuring savings are materialising; that needs quarterly data."</f>
        <v>Bottom line: reported costs rose because compensation and benefits per head rose (part of it severance) and because of the $726mm Mexico goodwill impairment. Headcount was a saving. The annual filing cannot split pay from severance, so it cannot show whether restructuring savings are materialising; that needs quarterly data.</v>
      </c>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15" t="s">
        <v>338</v>
      </c>
      <c r="C82" s="17"/>
      <c r="D82" s="17"/>
      <c r="E82" s="17"/>
      <c r="F82" s="17"/>
      <c r="G82" s="4"/>
      <c r="H82" s="4"/>
      <c r="I82" s="4"/>
      <c r="J82" s="4"/>
      <c r="K82" s="4"/>
      <c r="L82" s="4"/>
      <c r="M82" s="4"/>
      <c r="N82" s="4"/>
      <c r="O82" s="4"/>
      <c r="P82" s="4"/>
      <c r="Q82" s="4"/>
      <c r="R82" s="4"/>
      <c r="S82" s="4"/>
      <c r="T82" s="4"/>
      <c r="U82" s="4"/>
      <c r="V82" s="4"/>
      <c r="W82" s="4"/>
      <c r="X82" s="4"/>
      <c r="Y82" s="4"/>
      <c r="Z82" s="4"/>
    </row>
    <row r="83" ht="43.5" customHeight="1">
      <c r="A83" s="4"/>
      <c r="B83" s="22" t="s">
        <v>340</v>
      </c>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9">
    <mergeCell ref="B5:F5"/>
    <mergeCell ref="B8:F8"/>
    <mergeCell ref="B52:F52"/>
    <mergeCell ref="B53:F53"/>
    <mergeCell ref="B54:F54"/>
    <mergeCell ref="B55:F55"/>
    <mergeCell ref="B56:F56"/>
    <mergeCell ref="B76:F76"/>
    <mergeCell ref="B77:F77"/>
    <mergeCell ref="B78:F78"/>
    <mergeCell ref="B80:F80"/>
    <mergeCell ref="B83:F83"/>
    <mergeCell ref="B57:F57"/>
    <mergeCell ref="B58:F58"/>
    <mergeCell ref="B59:F59"/>
    <mergeCell ref="B60:F60"/>
    <mergeCell ref="B61:F61"/>
    <mergeCell ref="B62:F62"/>
    <mergeCell ref="B75:F7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44.0"/>
    <col customWidth="1" min="3" max="3" width="13.0"/>
    <col customWidth="1" min="4" max="4" width="7.0"/>
    <col customWidth="1" min="5" max="5" width="26.0"/>
    <col customWidth="1" min="6" max="6" width="34.0"/>
    <col customWidth="1" min="7" max="7" width="30.0"/>
    <col customWidth="1" min="8" max="8" width="11.0"/>
    <col customWidth="1" min="9" max="9" width="22.0"/>
    <col customWidth="1" min="10" max="10" width="70.0"/>
    <col customWidth="1" min="11" max="26" width="8.71"/>
  </cols>
  <sheetData>
    <row r="1">
      <c r="A1" s="5" t="s">
        <v>1</v>
      </c>
      <c r="B1" s="7" t="s">
        <v>5</v>
      </c>
      <c r="C1" s="7" t="s">
        <v>7</v>
      </c>
      <c r="D1" s="7" t="s">
        <v>8</v>
      </c>
      <c r="E1" s="7" t="s">
        <v>9</v>
      </c>
      <c r="F1" s="7" t="s">
        <v>10</v>
      </c>
      <c r="G1" s="7" t="s">
        <v>11</v>
      </c>
      <c r="H1" s="7" t="s">
        <v>12</v>
      </c>
      <c r="I1" s="7" t="s">
        <v>13</v>
      </c>
      <c r="J1" s="7" t="s">
        <v>15</v>
      </c>
    </row>
    <row r="2" ht="39.75" customHeight="1">
      <c r="A2" s="10">
        <v>1.0</v>
      </c>
      <c r="B2" s="11" t="s">
        <v>17</v>
      </c>
      <c r="C2" s="14">
        <v>85225.0</v>
      </c>
      <c r="D2" s="10" t="s">
        <v>20</v>
      </c>
      <c r="E2" s="11" t="s">
        <v>21</v>
      </c>
      <c r="F2" s="11" t="s">
        <v>22</v>
      </c>
      <c r="G2" s="11" t="s">
        <v>23</v>
      </c>
      <c r="H2" s="10" t="s">
        <v>24</v>
      </c>
      <c r="I2" s="11" t="s">
        <v>25</v>
      </c>
      <c r="J2" s="11" t="s">
        <v>26</v>
      </c>
    </row>
    <row r="3" ht="39.75" customHeight="1">
      <c r="A3" s="10">
        <v>2.0</v>
      </c>
      <c r="B3" s="11" t="s">
        <v>29</v>
      </c>
      <c r="C3" s="14">
        <v>29639.0</v>
      </c>
      <c r="D3" s="10" t="s">
        <v>20</v>
      </c>
      <c r="E3" s="11" t="s">
        <v>21</v>
      </c>
      <c r="F3" s="11" t="s">
        <v>22</v>
      </c>
      <c r="G3" s="11" t="s">
        <v>23</v>
      </c>
      <c r="H3" s="10" t="s">
        <v>24</v>
      </c>
      <c r="I3" s="11" t="s">
        <v>30</v>
      </c>
      <c r="J3" s="11" t="s">
        <v>31</v>
      </c>
    </row>
    <row r="4" ht="39.75" customHeight="1">
      <c r="A4" s="10">
        <v>3.0</v>
      </c>
      <c r="B4" s="11" t="s">
        <v>32</v>
      </c>
      <c r="C4" s="14">
        <v>9423.0</v>
      </c>
      <c r="D4" s="10" t="s">
        <v>20</v>
      </c>
      <c r="E4" s="11" t="s">
        <v>21</v>
      </c>
      <c r="F4" s="11" t="s">
        <v>22</v>
      </c>
      <c r="G4" s="11" t="s">
        <v>23</v>
      </c>
      <c r="H4" s="10" t="s">
        <v>24</v>
      </c>
      <c r="I4" s="11" t="s">
        <v>37</v>
      </c>
      <c r="J4" s="11" t="s">
        <v>31</v>
      </c>
    </row>
    <row r="5" ht="39.75" customHeight="1">
      <c r="A5" s="10">
        <v>4.0</v>
      </c>
      <c r="B5" s="11" t="s">
        <v>38</v>
      </c>
      <c r="C5" s="14">
        <v>4575.0</v>
      </c>
      <c r="D5" s="10" t="s">
        <v>20</v>
      </c>
      <c r="E5" s="11" t="s">
        <v>21</v>
      </c>
      <c r="F5" s="11" t="s">
        <v>22</v>
      </c>
      <c r="G5" s="11" t="s">
        <v>23</v>
      </c>
      <c r="H5" s="10" t="s">
        <v>24</v>
      </c>
      <c r="I5" s="11" t="s">
        <v>37</v>
      </c>
      <c r="J5" s="11" t="s">
        <v>31</v>
      </c>
    </row>
    <row r="6" ht="39.75" customHeight="1">
      <c r="A6" s="10">
        <v>5.0</v>
      </c>
      <c r="B6" s="11" t="s">
        <v>40</v>
      </c>
      <c r="C6" s="14">
        <v>2477.0</v>
      </c>
      <c r="D6" s="10" t="s">
        <v>20</v>
      </c>
      <c r="E6" s="11" t="s">
        <v>21</v>
      </c>
      <c r="F6" s="11" t="s">
        <v>22</v>
      </c>
      <c r="G6" s="11" t="s">
        <v>23</v>
      </c>
      <c r="H6" s="10" t="s">
        <v>24</v>
      </c>
      <c r="I6" s="11" t="s">
        <v>37</v>
      </c>
      <c r="J6" s="11" t="s">
        <v>31</v>
      </c>
    </row>
    <row r="7" ht="39.75" customHeight="1">
      <c r="A7" s="10">
        <v>6.0</v>
      </c>
      <c r="B7" s="11" t="s">
        <v>42</v>
      </c>
      <c r="C7" s="14">
        <v>2073.0</v>
      </c>
      <c r="D7" s="10" t="s">
        <v>20</v>
      </c>
      <c r="E7" s="11" t="s">
        <v>21</v>
      </c>
      <c r="F7" s="11" t="s">
        <v>22</v>
      </c>
      <c r="G7" s="11" t="s">
        <v>23</v>
      </c>
      <c r="H7" s="10" t="s">
        <v>24</v>
      </c>
      <c r="I7" s="11" t="s">
        <v>37</v>
      </c>
      <c r="J7" s="11" t="s">
        <v>31</v>
      </c>
    </row>
    <row r="8" ht="39.75" customHeight="1">
      <c r="A8" s="10">
        <v>7.0</v>
      </c>
      <c r="B8" s="11" t="s">
        <v>45</v>
      </c>
      <c r="C8" s="14">
        <v>1097.0</v>
      </c>
      <c r="D8" s="10" t="s">
        <v>20</v>
      </c>
      <c r="E8" s="11" t="s">
        <v>21</v>
      </c>
      <c r="F8" s="11" t="s">
        <v>22</v>
      </c>
      <c r="G8" s="11" t="s">
        <v>23</v>
      </c>
      <c r="H8" s="10" t="s">
        <v>24</v>
      </c>
      <c r="I8" s="11" t="s">
        <v>37</v>
      </c>
      <c r="J8" s="11" t="s">
        <v>31</v>
      </c>
    </row>
    <row r="9" ht="39.75" customHeight="1">
      <c r="A9" s="10">
        <v>8.0</v>
      </c>
      <c r="B9" s="11" t="s">
        <v>46</v>
      </c>
      <c r="C9" s="14">
        <v>5862.0</v>
      </c>
      <c r="D9" s="10" t="s">
        <v>20</v>
      </c>
      <c r="E9" s="11" t="s">
        <v>21</v>
      </c>
      <c r="F9" s="11" t="s">
        <v>22</v>
      </c>
      <c r="G9" s="11" t="s">
        <v>23</v>
      </c>
      <c r="H9" s="10" t="s">
        <v>24</v>
      </c>
      <c r="I9" s="11" t="s">
        <v>37</v>
      </c>
      <c r="J9" s="11" t="s">
        <v>31</v>
      </c>
    </row>
    <row r="10" ht="39.75" customHeight="1">
      <c r="A10" s="10">
        <v>9.0</v>
      </c>
      <c r="B10" s="11" t="s">
        <v>48</v>
      </c>
      <c r="C10" s="14">
        <v>-14.0</v>
      </c>
      <c r="D10" s="10" t="s">
        <v>20</v>
      </c>
      <c r="E10" s="11" t="s">
        <v>21</v>
      </c>
      <c r="F10" s="11" t="s">
        <v>22</v>
      </c>
      <c r="G10" s="11" t="s">
        <v>23</v>
      </c>
      <c r="H10" s="10" t="s">
        <v>24</v>
      </c>
      <c r="I10" s="11" t="s">
        <v>30</v>
      </c>
      <c r="J10" s="11" t="s">
        <v>49</v>
      </c>
    </row>
    <row r="11" ht="39.75" customHeight="1">
      <c r="A11" s="10">
        <v>10.0</v>
      </c>
      <c r="B11" s="11" t="s">
        <v>50</v>
      </c>
      <c r="C11" s="14">
        <v>400.0</v>
      </c>
      <c r="D11" s="10" t="s">
        <v>20</v>
      </c>
      <c r="E11" s="11" t="s">
        <v>51</v>
      </c>
      <c r="F11" s="11" t="s">
        <v>53</v>
      </c>
      <c r="G11" s="11" t="s">
        <v>55</v>
      </c>
      <c r="H11" s="10" t="s">
        <v>56</v>
      </c>
      <c r="I11" s="11" t="s">
        <v>57</v>
      </c>
      <c r="J11" s="11" t="s">
        <v>58</v>
      </c>
    </row>
    <row r="12" ht="39.75" customHeight="1">
      <c r="A12" s="10">
        <v>11.0</v>
      </c>
      <c r="B12" s="11" t="s">
        <v>59</v>
      </c>
      <c r="C12" s="14">
        <v>55132.0</v>
      </c>
      <c r="D12" s="10" t="s">
        <v>20</v>
      </c>
      <c r="E12" s="11" t="s">
        <v>21</v>
      </c>
      <c r="F12" s="11" t="s">
        <v>22</v>
      </c>
      <c r="G12" s="11" t="s">
        <v>23</v>
      </c>
      <c r="H12" s="10" t="s">
        <v>24</v>
      </c>
      <c r="I12" s="11" t="s">
        <v>60</v>
      </c>
      <c r="J12" s="11" t="s">
        <v>61</v>
      </c>
    </row>
    <row r="13" ht="39.75" customHeight="1">
      <c r="A13" s="10">
        <v>12.0</v>
      </c>
      <c r="B13" s="11" t="s">
        <v>62</v>
      </c>
      <c r="C13" s="14">
        <v>14306.0</v>
      </c>
      <c r="D13" s="10" t="s">
        <v>20</v>
      </c>
      <c r="E13" s="11" t="s">
        <v>21</v>
      </c>
      <c r="F13" s="11" t="s">
        <v>22</v>
      </c>
      <c r="G13" s="11" t="s">
        <v>23</v>
      </c>
      <c r="H13" s="10" t="s">
        <v>24</v>
      </c>
      <c r="I13" s="11" t="s">
        <v>63</v>
      </c>
      <c r="J13" s="11" t="s">
        <v>65</v>
      </c>
    </row>
    <row r="14" ht="39.75" customHeight="1">
      <c r="A14" s="10">
        <v>13.0</v>
      </c>
      <c r="B14" s="11" t="s">
        <v>66</v>
      </c>
      <c r="C14" s="14">
        <v>80722.0</v>
      </c>
      <c r="D14" s="10" t="s">
        <v>20</v>
      </c>
      <c r="E14" s="11" t="s">
        <v>21</v>
      </c>
      <c r="F14" s="11" t="s">
        <v>67</v>
      </c>
      <c r="G14" s="11" t="s">
        <v>23</v>
      </c>
      <c r="H14" s="10" t="s">
        <v>24</v>
      </c>
      <c r="I14" s="11" t="s">
        <v>25</v>
      </c>
      <c r="J14" s="11" t="s">
        <v>68</v>
      </c>
    </row>
    <row r="15" ht="39.75" customHeight="1">
      <c r="A15" s="10">
        <v>14.0</v>
      </c>
      <c r="B15" s="11" t="s">
        <v>69</v>
      </c>
      <c r="C15" s="14">
        <v>28542.0</v>
      </c>
      <c r="D15" s="10" t="s">
        <v>20</v>
      </c>
      <c r="E15" s="11" t="s">
        <v>21</v>
      </c>
      <c r="F15" s="11" t="s">
        <v>67</v>
      </c>
      <c r="G15" s="11" t="s">
        <v>23</v>
      </c>
      <c r="H15" s="10" t="s">
        <v>56</v>
      </c>
      <c r="I15" s="11" t="s">
        <v>30</v>
      </c>
      <c r="J15" s="11" t="s">
        <v>31</v>
      </c>
    </row>
    <row r="16" ht="39.75" customHeight="1">
      <c r="A16" s="10">
        <v>15.0</v>
      </c>
      <c r="B16" s="11" t="s">
        <v>70</v>
      </c>
      <c r="C16" s="14">
        <v>9035.0</v>
      </c>
      <c r="D16" s="10" t="s">
        <v>20</v>
      </c>
      <c r="E16" s="11" t="s">
        <v>21</v>
      </c>
      <c r="F16" s="11" t="s">
        <v>67</v>
      </c>
      <c r="G16" s="11" t="s">
        <v>23</v>
      </c>
      <c r="H16" s="10" t="s">
        <v>56</v>
      </c>
      <c r="I16" s="11" t="s">
        <v>37</v>
      </c>
      <c r="J16" s="11" t="s">
        <v>31</v>
      </c>
    </row>
    <row r="17" ht="39.75" customHeight="1">
      <c r="A17" s="10">
        <v>16.0</v>
      </c>
      <c r="B17" s="11" t="s">
        <v>71</v>
      </c>
      <c r="C17" s="14">
        <v>4438.0</v>
      </c>
      <c r="D17" s="10" t="s">
        <v>20</v>
      </c>
      <c r="E17" s="11" t="s">
        <v>21</v>
      </c>
      <c r="F17" s="11" t="s">
        <v>67</v>
      </c>
      <c r="G17" s="11" t="s">
        <v>23</v>
      </c>
      <c r="H17" s="10" t="s">
        <v>56</v>
      </c>
      <c r="I17" s="11" t="s">
        <v>37</v>
      </c>
      <c r="J17" s="11" t="s">
        <v>31</v>
      </c>
    </row>
    <row r="18" ht="39.75" customHeight="1">
      <c r="A18" s="10">
        <v>17.0</v>
      </c>
      <c r="B18" s="11" t="s">
        <v>72</v>
      </c>
      <c r="C18" s="14">
        <v>2438.0</v>
      </c>
      <c r="D18" s="10" t="s">
        <v>20</v>
      </c>
      <c r="E18" s="11" t="s">
        <v>21</v>
      </c>
      <c r="F18" s="11" t="s">
        <v>67</v>
      </c>
      <c r="G18" s="11" t="s">
        <v>23</v>
      </c>
      <c r="H18" s="10" t="s">
        <v>56</v>
      </c>
      <c r="I18" s="11" t="s">
        <v>37</v>
      </c>
      <c r="J18" s="11" t="s">
        <v>31</v>
      </c>
    </row>
    <row r="19" ht="39.75" customHeight="1">
      <c r="A19" s="10">
        <v>18.0</v>
      </c>
      <c r="B19" s="11" t="s">
        <v>74</v>
      </c>
      <c r="C19" s="14">
        <v>2016.0</v>
      </c>
      <c r="D19" s="10" t="s">
        <v>20</v>
      </c>
      <c r="E19" s="11" t="s">
        <v>21</v>
      </c>
      <c r="F19" s="11" t="s">
        <v>67</v>
      </c>
      <c r="G19" s="11" t="s">
        <v>23</v>
      </c>
      <c r="H19" s="10" t="s">
        <v>56</v>
      </c>
      <c r="I19" s="11" t="s">
        <v>37</v>
      </c>
      <c r="J19" s="11" t="s">
        <v>31</v>
      </c>
    </row>
    <row r="20" ht="39.75" customHeight="1">
      <c r="A20" s="10">
        <v>19.0</v>
      </c>
      <c r="B20" s="11" t="s">
        <v>75</v>
      </c>
      <c r="C20" s="14">
        <v>1113.0</v>
      </c>
      <c r="D20" s="10" t="s">
        <v>20</v>
      </c>
      <c r="E20" s="11" t="s">
        <v>21</v>
      </c>
      <c r="F20" s="11" t="s">
        <v>67</v>
      </c>
      <c r="G20" s="11" t="s">
        <v>23</v>
      </c>
      <c r="H20" s="10" t="s">
        <v>56</v>
      </c>
      <c r="I20" s="11" t="s">
        <v>37</v>
      </c>
      <c r="J20" s="11" t="s">
        <v>31</v>
      </c>
    </row>
    <row r="21" ht="39.75" customHeight="1">
      <c r="A21" s="10">
        <v>20.0</v>
      </c>
      <c r="B21" s="11" t="s">
        <v>77</v>
      </c>
      <c r="C21" s="14">
        <v>5726.0</v>
      </c>
      <c r="D21" s="10" t="s">
        <v>20</v>
      </c>
      <c r="E21" s="11" t="s">
        <v>21</v>
      </c>
      <c r="F21" s="11" t="s">
        <v>67</v>
      </c>
      <c r="G21" s="11" t="s">
        <v>23</v>
      </c>
      <c r="H21" s="10" t="s">
        <v>56</v>
      </c>
      <c r="I21" s="11" t="s">
        <v>37</v>
      </c>
      <c r="J21" s="11" t="s">
        <v>31</v>
      </c>
    </row>
    <row r="22" ht="39.75" customHeight="1">
      <c r="A22" s="10">
        <v>21.0</v>
      </c>
      <c r="B22" s="11" t="s">
        <v>78</v>
      </c>
      <c r="C22" s="14">
        <v>259.0</v>
      </c>
      <c r="D22" s="10" t="s">
        <v>20</v>
      </c>
      <c r="E22" s="11" t="s">
        <v>21</v>
      </c>
      <c r="F22" s="11" t="s">
        <v>67</v>
      </c>
      <c r="G22" s="11" t="s">
        <v>23</v>
      </c>
      <c r="H22" s="10" t="s">
        <v>24</v>
      </c>
      <c r="I22" s="11" t="s">
        <v>30</v>
      </c>
      <c r="J22" s="11" t="s">
        <v>31</v>
      </c>
    </row>
    <row r="23" ht="39.75" customHeight="1">
      <c r="A23" s="10">
        <v>22.0</v>
      </c>
      <c r="B23" s="11" t="s">
        <v>80</v>
      </c>
      <c r="C23" s="14">
        <v>53567.0</v>
      </c>
      <c r="D23" s="10" t="s">
        <v>20</v>
      </c>
      <c r="E23" s="11" t="s">
        <v>21</v>
      </c>
      <c r="F23" s="11" t="s">
        <v>67</v>
      </c>
      <c r="G23" s="11" t="s">
        <v>23</v>
      </c>
      <c r="H23" s="10" t="s">
        <v>24</v>
      </c>
      <c r="I23" s="11" t="s">
        <v>60</v>
      </c>
      <c r="J23" s="11" t="s">
        <v>81</v>
      </c>
    </row>
    <row r="24" ht="39.75" customHeight="1">
      <c r="A24" s="10">
        <v>23.0</v>
      </c>
      <c r="B24" s="11" t="s">
        <v>82</v>
      </c>
      <c r="C24" s="14">
        <v>78066.0</v>
      </c>
      <c r="D24" s="10" t="s">
        <v>20</v>
      </c>
      <c r="E24" s="11" t="s">
        <v>21</v>
      </c>
      <c r="F24" s="11" t="s">
        <v>84</v>
      </c>
      <c r="G24" s="11" t="s">
        <v>23</v>
      </c>
      <c r="H24" s="10" t="s">
        <v>24</v>
      </c>
      <c r="I24" s="11" t="s">
        <v>87</v>
      </c>
      <c r="J24" s="11" t="s">
        <v>88</v>
      </c>
    </row>
    <row r="25" ht="39.75" customHeight="1">
      <c r="A25" s="10">
        <v>24.0</v>
      </c>
      <c r="B25" s="11" t="s">
        <v>90</v>
      </c>
      <c r="C25" s="14">
        <v>55970.0</v>
      </c>
      <c r="D25" s="10" t="s">
        <v>20</v>
      </c>
      <c r="E25" s="11" t="s">
        <v>21</v>
      </c>
      <c r="F25" s="11" t="s">
        <v>84</v>
      </c>
      <c r="G25" s="11" t="s">
        <v>23</v>
      </c>
      <c r="H25" s="10" t="s">
        <v>24</v>
      </c>
      <c r="I25" s="11" t="s">
        <v>25</v>
      </c>
      <c r="J25" s="11" t="s">
        <v>91</v>
      </c>
    </row>
    <row r="26" ht="39.75" customHeight="1">
      <c r="A26" s="10">
        <v>25.0</v>
      </c>
      <c r="B26" s="11" t="s">
        <v>92</v>
      </c>
      <c r="C26" s="14">
        <v>781.0</v>
      </c>
      <c r="D26" s="10" t="s">
        <v>20</v>
      </c>
      <c r="E26" s="11" t="s">
        <v>21</v>
      </c>
      <c r="F26" s="11" t="s">
        <v>84</v>
      </c>
      <c r="G26" s="11" t="s">
        <v>23</v>
      </c>
      <c r="H26" s="10" t="s">
        <v>24</v>
      </c>
      <c r="I26" s="11" t="s">
        <v>87</v>
      </c>
      <c r="J26" s="11" t="s">
        <v>94</v>
      </c>
    </row>
    <row r="27" ht="39.75" customHeight="1">
      <c r="A27" s="10">
        <v>26.0</v>
      </c>
      <c r="B27" s="11" t="s">
        <v>97</v>
      </c>
      <c r="C27" s="14">
        <v>226000.0</v>
      </c>
      <c r="D27" s="10" t="s">
        <v>98</v>
      </c>
      <c r="E27" s="11" t="s">
        <v>21</v>
      </c>
      <c r="F27" s="11" t="s">
        <v>99</v>
      </c>
      <c r="G27" s="11" t="s">
        <v>100</v>
      </c>
      <c r="H27" s="10" t="s">
        <v>56</v>
      </c>
      <c r="I27" s="11" t="s">
        <v>101</v>
      </c>
      <c r="J27" s="11" t="s">
        <v>102</v>
      </c>
    </row>
    <row r="28" ht="39.75" customHeight="1">
      <c r="A28" s="10">
        <v>27.0</v>
      </c>
      <c r="B28" s="11" t="s">
        <v>103</v>
      </c>
      <c r="C28" s="14">
        <v>229000.0</v>
      </c>
      <c r="D28" s="10" t="s">
        <v>98</v>
      </c>
      <c r="E28" s="11" t="s">
        <v>21</v>
      </c>
      <c r="F28" s="11" t="s">
        <v>99</v>
      </c>
      <c r="G28" s="11" t="s">
        <v>100</v>
      </c>
      <c r="H28" s="10" t="s">
        <v>56</v>
      </c>
      <c r="I28" s="11" t="s">
        <v>101</v>
      </c>
      <c r="J28" s="11" t="s">
        <v>104</v>
      </c>
    </row>
    <row r="29" ht="39.75" customHeight="1">
      <c r="A29" s="10">
        <v>28.0</v>
      </c>
      <c r="B29" s="11" t="s">
        <v>106</v>
      </c>
      <c r="C29" s="14">
        <v>239000.0</v>
      </c>
      <c r="D29" s="10" t="s">
        <v>98</v>
      </c>
      <c r="E29" s="28" t="s">
        <v>108</v>
      </c>
      <c r="F29" s="28" t="s">
        <v>109</v>
      </c>
      <c r="G29" s="30" t="s">
        <v>111</v>
      </c>
      <c r="H29" s="31">
        <v>46296.0</v>
      </c>
      <c r="I29" s="28" t="s">
        <v>57</v>
      </c>
      <c r="J29" s="28" t="s">
        <v>117</v>
      </c>
    </row>
    <row r="30" ht="39.75" customHeight="1">
      <c r="A30" s="10">
        <v>29.0</v>
      </c>
      <c r="B30" s="11" t="s">
        <v>119</v>
      </c>
      <c r="C30" s="14">
        <v>877.0</v>
      </c>
      <c r="D30" s="10" t="s">
        <v>20</v>
      </c>
      <c r="E30" s="11" t="s">
        <v>21</v>
      </c>
      <c r="F30" s="11" t="s">
        <v>120</v>
      </c>
      <c r="G30" s="11" t="s">
        <v>100</v>
      </c>
      <c r="H30" s="10" t="s">
        <v>56</v>
      </c>
      <c r="I30" s="11" t="s">
        <v>37</v>
      </c>
      <c r="J30" s="11" t="s">
        <v>122</v>
      </c>
    </row>
    <row r="31" ht="39.75" customHeight="1">
      <c r="A31" s="10">
        <v>30.0</v>
      </c>
      <c r="B31" s="11" t="s">
        <v>123</v>
      </c>
      <c r="C31" s="14">
        <v>726.0</v>
      </c>
      <c r="D31" s="10" t="s">
        <v>20</v>
      </c>
      <c r="E31" s="11" t="s">
        <v>124</v>
      </c>
      <c r="F31" s="11" t="s">
        <v>125</v>
      </c>
      <c r="G31" s="11" t="s">
        <v>127</v>
      </c>
      <c r="H31" s="10" t="s">
        <v>56</v>
      </c>
      <c r="I31" s="11" t="s">
        <v>25</v>
      </c>
      <c r="J31" s="11" t="s">
        <v>128</v>
      </c>
    </row>
    <row r="32" ht="39.75" customHeight="1">
      <c r="A32" s="10">
        <v>31.0</v>
      </c>
      <c r="B32" s="11" t="s">
        <v>129</v>
      </c>
      <c r="C32" s="14">
        <v>318.0</v>
      </c>
      <c r="D32" s="10" t="s">
        <v>20</v>
      </c>
      <c r="E32" s="11" t="s">
        <v>21</v>
      </c>
      <c r="F32" s="11" t="s">
        <v>120</v>
      </c>
      <c r="G32" s="11" t="s">
        <v>100</v>
      </c>
      <c r="H32" s="10" t="s">
        <v>56</v>
      </c>
      <c r="I32" s="11" t="s">
        <v>37</v>
      </c>
      <c r="J32" s="11" t="s">
        <v>132</v>
      </c>
    </row>
    <row r="33" ht="39.75" customHeight="1">
      <c r="A33" s="10">
        <v>32.0</v>
      </c>
      <c r="B33" s="11" t="s">
        <v>133</v>
      </c>
      <c r="C33" s="14">
        <v>372.0</v>
      </c>
      <c r="D33" s="10" t="s">
        <v>20</v>
      </c>
      <c r="E33" s="11" t="s">
        <v>21</v>
      </c>
      <c r="F33" s="11" t="s">
        <v>120</v>
      </c>
      <c r="G33" s="11" t="s">
        <v>100</v>
      </c>
      <c r="H33" s="10" t="s">
        <v>56</v>
      </c>
      <c r="I33" s="11" t="s">
        <v>37</v>
      </c>
      <c r="J33" s="11" t="s">
        <v>134</v>
      </c>
    </row>
    <row r="34" ht="39.75" customHeight="1">
      <c r="A34" s="10">
        <v>33.0</v>
      </c>
      <c r="B34" s="11" t="s">
        <v>135</v>
      </c>
      <c r="C34" s="14">
        <v>-238.0</v>
      </c>
      <c r="D34" s="10" t="s">
        <v>20</v>
      </c>
      <c r="E34" s="11" t="s">
        <v>21</v>
      </c>
      <c r="F34" s="11" t="s">
        <v>136</v>
      </c>
      <c r="G34" s="11" t="s">
        <v>137</v>
      </c>
      <c r="H34" s="10" t="s">
        <v>24</v>
      </c>
      <c r="I34" s="11" t="s">
        <v>37</v>
      </c>
      <c r="J34" s="28" t="s">
        <v>139</v>
      </c>
    </row>
    <row r="35" ht="39.75" customHeight="1">
      <c r="A35" s="10">
        <v>34.0</v>
      </c>
      <c r="B35" s="11" t="s">
        <v>140</v>
      </c>
      <c r="C35" s="14">
        <v>203.0</v>
      </c>
      <c r="D35" s="10" t="s">
        <v>20</v>
      </c>
      <c r="E35" s="11" t="s">
        <v>21</v>
      </c>
      <c r="F35" s="11" t="s">
        <v>136</v>
      </c>
      <c r="G35" s="11" t="s">
        <v>137</v>
      </c>
      <c r="H35" s="10" t="s">
        <v>24</v>
      </c>
      <c r="I35" s="11" t="s">
        <v>37</v>
      </c>
      <c r="J35" s="11" t="s">
        <v>142</v>
      </c>
    </row>
    <row r="36" ht="39.75" customHeight="1">
      <c r="A36" s="10">
        <v>35.0</v>
      </c>
      <c r="B36" s="11" t="s">
        <v>144</v>
      </c>
      <c r="C36" s="14">
        <v>1706.0</v>
      </c>
      <c r="D36" s="10" t="s">
        <v>20</v>
      </c>
      <c r="E36" s="11" t="s">
        <v>21</v>
      </c>
      <c r="F36" s="11" t="s">
        <v>136</v>
      </c>
      <c r="G36" s="11" t="s">
        <v>137</v>
      </c>
      <c r="H36" s="10" t="s">
        <v>24</v>
      </c>
      <c r="I36" s="11" t="s">
        <v>37</v>
      </c>
      <c r="J36" s="11" t="s">
        <v>142</v>
      </c>
    </row>
    <row r="37" ht="39.75" customHeight="1">
      <c r="A37" s="10">
        <v>36.0</v>
      </c>
      <c r="B37" s="11" t="s">
        <v>145</v>
      </c>
      <c r="C37" s="14">
        <v>54400.0</v>
      </c>
      <c r="D37" s="10" t="s">
        <v>20</v>
      </c>
      <c r="E37" s="28" t="s">
        <v>146</v>
      </c>
      <c r="F37" s="28" t="s">
        <v>147</v>
      </c>
      <c r="G37" s="30" t="s">
        <v>100</v>
      </c>
      <c r="H37" s="31">
        <v>46296.0</v>
      </c>
      <c r="I37" s="28" t="s">
        <v>37</v>
      </c>
      <c r="J37" s="28" t="s">
        <v>150</v>
      </c>
    </row>
    <row r="38" ht="39.75" customHeight="1">
      <c r="A38" s="10">
        <v>37.0</v>
      </c>
      <c r="B38" s="11" t="s">
        <v>152</v>
      </c>
      <c r="C38" s="14">
        <v>157099.0</v>
      </c>
      <c r="D38" s="10" t="s">
        <v>20</v>
      </c>
      <c r="E38" s="11" t="s">
        <v>21</v>
      </c>
      <c r="F38" s="11" t="s">
        <v>153</v>
      </c>
      <c r="G38" s="11" t="s">
        <v>154</v>
      </c>
      <c r="H38" s="10" t="s">
        <v>24</v>
      </c>
      <c r="I38" s="11" t="s">
        <v>63</v>
      </c>
      <c r="J38" s="11" t="s">
        <v>155</v>
      </c>
    </row>
    <row r="39" ht="39.75" customHeight="1">
      <c r="A39" s="10">
        <v>38.0</v>
      </c>
      <c r="B39" s="11" t="s">
        <v>156</v>
      </c>
      <c r="C39" s="14">
        <v>155363.0</v>
      </c>
      <c r="D39" s="10" t="s">
        <v>20</v>
      </c>
      <c r="E39" s="11" t="s">
        <v>21</v>
      </c>
      <c r="F39" s="11" t="s">
        <v>153</v>
      </c>
      <c r="G39" s="11" t="s">
        <v>154</v>
      </c>
      <c r="H39" s="10" t="s">
        <v>24</v>
      </c>
      <c r="I39" s="11" t="s">
        <v>63</v>
      </c>
      <c r="J39" s="11" t="s">
        <v>159</v>
      </c>
    </row>
    <row r="40" ht="39.75" customHeight="1">
      <c r="A40" s="10">
        <v>39.0</v>
      </c>
      <c r="B40" s="11" t="s">
        <v>160</v>
      </c>
      <c r="C40" s="14">
        <v>1192174.0</v>
      </c>
      <c r="D40" s="10" t="s">
        <v>20</v>
      </c>
      <c r="E40" s="11" t="s">
        <v>21</v>
      </c>
      <c r="F40" s="11" t="s">
        <v>153</v>
      </c>
      <c r="G40" s="11" t="s">
        <v>154</v>
      </c>
      <c r="H40" s="10" t="s">
        <v>24</v>
      </c>
      <c r="I40" s="11" t="s">
        <v>63</v>
      </c>
      <c r="J40" s="11" t="s">
        <v>161</v>
      </c>
    </row>
    <row r="41" ht="39.75" customHeight="1">
      <c r="A41" s="10">
        <v>40.0</v>
      </c>
      <c r="B41" s="11" t="s">
        <v>162</v>
      </c>
      <c r="C41" s="14">
        <v>1139988.0</v>
      </c>
      <c r="D41" s="10" t="s">
        <v>20</v>
      </c>
      <c r="E41" s="11" t="s">
        <v>21</v>
      </c>
      <c r="F41" s="11" t="s">
        <v>153</v>
      </c>
      <c r="G41" s="11" t="s">
        <v>154</v>
      </c>
      <c r="H41" s="10" t="s">
        <v>24</v>
      </c>
      <c r="I41" s="11" t="s">
        <v>63</v>
      </c>
      <c r="J41" s="11" t="s">
        <v>164</v>
      </c>
    </row>
    <row r="42" ht="39.75" customHeight="1">
      <c r="A42" s="10">
        <v>41.0</v>
      </c>
      <c r="B42" s="11" t="s">
        <v>165</v>
      </c>
      <c r="C42" s="14">
        <v>5372.0</v>
      </c>
      <c r="D42" s="10" t="s">
        <v>20</v>
      </c>
      <c r="E42" s="11" t="s">
        <v>21</v>
      </c>
      <c r="F42" s="11" t="s">
        <v>166</v>
      </c>
      <c r="G42" s="11" t="s">
        <v>137</v>
      </c>
      <c r="H42" s="10" t="s">
        <v>24</v>
      </c>
      <c r="I42" s="11" t="s">
        <v>63</v>
      </c>
      <c r="J42" s="11" t="s">
        <v>167</v>
      </c>
    </row>
    <row r="43" ht="39.75" customHeight="1">
      <c r="A43" s="10">
        <v>42.0</v>
      </c>
      <c r="B43" s="11" t="s">
        <v>168</v>
      </c>
      <c r="C43" s="14">
        <v>13250.0</v>
      </c>
      <c r="D43" s="10" t="s">
        <v>20</v>
      </c>
      <c r="E43" s="11" t="s">
        <v>21</v>
      </c>
      <c r="F43" s="11" t="s">
        <v>166</v>
      </c>
      <c r="G43" s="11" t="s">
        <v>137</v>
      </c>
      <c r="H43" s="10" t="s">
        <v>24</v>
      </c>
      <c r="I43" s="11" t="s">
        <v>63</v>
      </c>
      <c r="J43" s="11" t="s">
        <v>169</v>
      </c>
    </row>
    <row r="44" ht="39.75" customHeight="1">
      <c r="A44" s="10">
        <v>43.0</v>
      </c>
      <c r="B44" s="11" t="s">
        <v>171</v>
      </c>
      <c r="C44" s="14">
        <v>-47852.0</v>
      </c>
      <c r="D44" s="10" t="s">
        <v>20</v>
      </c>
      <c r="E44" s="11" t="s">
        <v>21</v>
      </c>
      <c r="F44" s="11" t="s">
        <v>172</v>
      </c>
      <c r="G44" s="11" t="s">
        <v>173</v>
      </c>
      <c r="H44" s="10" t="s">
        <v>24</v>
      </c>
      <c r="I44" s="11" t="s">
        <v>63</v>
      </c>
      <c r="J44" s="28" t="s">
        <v>174</v>
      </c>
    </row>
    <row r="45" ht="39.75" customHeight="1">
      <c r="A45" s="10">
        <v>44.0</v>
      </c>
      <c r="B45" s="11" t="s">
        <v>175</v>
      </c>
      <c r="C45" s="14">
        <v>-41897.0</v>
      </c>
      <c r="D45" s="10" t="s">
        <v>20</v>
      </c>
      <c r="E45" s="11" t="s">
        <v>21</v>
      </c>
      <c r="F45" s="11" t="s">
        <v>172</v>
      </c>
      <c r="G45" s="11" t="s">
        <v>173</v>
      </c>
      <c r="H45" s="10" t="s">
        <v>24</v>
      </c>
      <c r="I45" s="11" t="s">
        <v>63</v>
      </c>
      <c r="J45" s="28" t="s">
        <v>174</v>
      </c>
    </row>
    <row r="46" ht="39.75" customHeight="1">
      <c r="A46" s="10">
        <v>45.0</v>
      </c>
      <c r="B46" s="11" t="s">
        <v>176</v>
      </c>
      <c r="C46" s="35">
        <v>0.132</v>
      </c>
      <c r="D46" s="10" t="s">
        <v>177</v>
      </c>
      <c r="E46" s="11" t="s">
        <v>21</v>
      </c>
      <c r="F46" s="11" t="s">
        <v>178</v>
      </c>
      <c r="G46" s="11" t="s">
        <v>100</v>
      </c>
      <c r="H46" s="10" t="s">
        <v>56</v>
      </c>
      <c r="I46" s="11" t="s">
        <v>63</v>
      </c>
      <c r="J46" s="11" t="s">
        <v>179</v>
      </c>
    </row>
    <row r="47" ht="39.75" customHeight="1">
      <c r="A47" s="10">
        <v>46.0</v>
      </c>
      <c r="B47" s="11" t="s">
        <v>180</v>
      </c>
      <c r="C47" s="35">
        <v>0.016</v>
      </c>
      <c r="D47" s="10" t="s">
        <v>177</v>
      </c>
      <c r="E47" s="11" t="s">
        <v>182</v>
      </c>
      <c r="F47" s="11" t="s">
        <v>183</v>
      </c>
      <c r="G47" s="11" t="s">
        <v>184</v>
      </c>
      <c r="H47" s="10" t="s">
        <v>56</v>
      </c>
      <c r="I47" s="11" t="s">
        <v>63</v>
      </c>
      <c r="J47" s="11" t="s">
        <v>185</v>
      </c>
    </row>
    <row r="48" ht="39.75" customHeight="1">
      <c r="A48" s="10">
        <v>47.0</v>
      </c>
      <c r="B48" s="11" t="s">
        <v>186</v>
      </c>
      <c r="C48" s="35">
        <v>0.017</v>
      </c>
      <c r="D48" s="10" t="s">
        <v>177</v>
      </c>
      <c r="E48" s="11" t="s">
        <v>187</v>
      </c>
      <c r="F48" s="11" t="s">
        <v>188</v>
      </c>
      <c r="G48" s="11" t="s">
        <v>127</v>
      </c>
      <c r="H48" s="10" t="s">
        <v>56</v>
      </c>
      <c r="I48" s="11" t="s">
        <v>189</v>
      </c>
      <c r="J48" s="11" t="s">
        <v>190</v>
      </c>
    </row>
    <row r="49" ht="39.75" customHeight="1">
      <c r="A49" s="10">
        <v>48.0</v>
      </c>
      <c r="B49" s="11" t="s">
        <v>191</v>
      </c>
      <c r="C49" s="35">
        <v>0.045</v>
      </c>
      <c r="D49" s="10" t="s">
        <v>177</v>
      </c>
      <c r="E49" s="11" t="s">
        <v>192</v>
      </c>
      <c r="F49" s="11" t="s">
        <v>193</v>
      </c>
      <c r="G49" s="11" t="s">
        <v>194</v>
      </c>
      <c r="H49" s="10" t="s">
        <v>56</v>
      </c>
      <c r="I49" s="11" t="s">
        <v>63</v>
      </c>
      <c r="J49" s="11" t="s">
        <v>195</v>
      </c>
    </row>
    <row r="50" ht="39.75" customHeight="1">
      <c r="A50" s="10">
        <v>49.0</v>
      </c>
      <c r="B50" s="11" t="s">
        <v>196</v>
      </c>
      <c r="C50" s="35">
        <v>0.036</v>
      </c>
      <c r="D50" s="10" t="s">
        <v>177</v>
      </c>
      <c r="E50" s="11" t="s">
        <v>197</v>
      </c>
      <c r="F50" s="11" t="s">
        <v>198</v>
      </c>
      <c r="G50" s="11" t="s">
        <v>199</v>
      </c>
      <c r="H50" s="10" t="s">
        <v>56</v>
      </c>
      <c r="I50" s="11" t="s">
        <v>63</v>
      </c>
      <c r="J50" s="11" t="s">
        <v>200</v>
      </c>
    </row>
    <row r="51" ht="39.75" customHeight="1">
      <c r="A51" s="10">
        <v>50.0</v>
      </c>
      <c r="B51" s="11" t="s">
        <v>201</v>
      </c>
      <c r="C51" s="35">
        <v>0.035</v>
      </c>
      <c r="D51" s="10" t="s">
        <v>177</v>
      </c>
      <c r="E51" s="28" t="s">
        <v>21</v>
      </c>
      <c r="F51" s="28" t="s">
        <v>203</v>
      </c>
      <c r="G51" s="30" t="s">
        <v>100</v>
      </c>
      <c r="H51" s="31">
        <v>46296.0</v>
      </c>
      <c r="I51" s="28" t="s">
        <v>63</v>
      </c>
      <c r="J51" s="28" t="s">
        <v>204</v>
      </c>
    </row>
    <row r="52" ht="39.75" customHeight="1">
      <c r="A52" s="10">
        <v>51.0</v>
      </c>
      <c r="B52" s="11" t="s">
        <v>205</v>
      </c>
      <c r="C52" s="35">
        <v>0.116</v>
      </c>
      <c r="D52" s="10" t="s">
        <v>177</v>
      </c>
      <c r="E52" s="11" t="s">
        <v>21</v>
      </c>
      <c r="F52" s="11" t="s">
        <v>178</v>
      </c>
      <c r="G52" s="11" t="s">
        <v>100</v>
      </c>
      <c r="H52" s="10" t="s">
        <v>56</v>
      </c>
      <c r="I52" s="11" t="s">
        <v>63</v>
      </c>
      <c r="J52" s="11" t="s">
        <v>206</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9"/>
    <hyperlink r:id="rId2" ref="G37"/>
    <hyperlink r:id="rId3" ref="G51"/>
  </hyperlinks>
  <printOptions/>
  <pageMargins bottom="1.0" footer="0.0" header="0.0" left="0.75" right="0.75" top="1.0"/>
  <pageSetup paperSize="9"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12.0"/>
    <col customWidth="1" min="3" max="3" width="10.0"/>
    <col customWidth="1" min="4" max="4" width="90.0"/>
    <col customWidth="1" min="5" max="26" width="8.71"/>
  </cols>
  <sheetData>
    <row r="1">
      <c r="A1" s="1" t="s">
        <v>0</v>
      </c>
      <c r="B1" s="4"/>
      <c r="C1" s="4"/>
      <c r="D1" s="4"/>
      <c r="E1" s="4"/>
      <c r="F1" s="4"/>
      <c r="G1" s="4"/>
      <c r="H1" s="4"/>
      <c r="I1" s="4"/>
      <c r="J1" s="4"/>
      <c r="K1" s="4"/>
      <c r="L1" s="4"/>
      <c r="M1" s="4"/>
      <c r="N1" s="4"/>
      <c r="O1" s="4"/>
      <c r="P1" s="4"/>
      <c r="Q1" s="4"/>
      <c r="R1" s="4"/>
      <c r="S1" s="4"/>
      <c r="T1" s="4"/>
      <c r="U1" s="4"/>
      <c r="V1" s="4"/>
      <c r="W1" s="4"/>
      <c r="X1" s="4"/>
      <c r="Y1" s="4"/>
      <c r="Z1" s="4"/>
    </row>
    <row r="2">
      <c r="A2" s="6" t="s">
        <v>4</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3" t="s">
        <v>16</v>
      </c>
      <c r="B4" s="16" t="s">
        <v>7</v>
      </c>
      <c r="C4" s="16" t="s">
        <v>8</v>
      </c>
      <c r="D4" s="16" t="s">
        <v>27</v>
      </c>
      <c r="E4" s="4"/>
      <c r="F4" s="4"/>
      <c r="G4" s="4"/>
      <c r="H4" s="4"/>
      <c r="I4" s="4"/>
      <c r="J4" s="4"/>
      <c r="K4" s="4"/>
      <c r="L4" s="4"/>
      <c r="M4" s="4"/>
      <c r="N4" s="4"/>
      <c r="O4" s="4"/>
      <c r="P4" s="4"/>
      <c r="Q4" s="4"/>
      <c r="R4" s="4"/>
      <c r="S4" s="4"/>
      <c r="T4" s="4"/>
      <c r="U4" s="4"/>
      <c r="V4" s="4"/>
      <c r="W4" s="4"/>
      <c r="X4" s="4"/>
      <c r="Y4" s="4"/>
      <c r="Z4" s="4"/>
    </row>
    <row r="5" ht="30.0" customHeight="1">
      <c r="A5" s="19" t="s">
        <v>35</v>
      </c>
      <c r="B5" s="21">
        <v>5.0E-4</v>
      </c>
      <c r="C5" s="19" t="s">
        <v>43</v>
      </c>
      <c r="D5" s="22" t="s">
        <v>44</v>
      </c>
      <c r="E5" s="4"/>
      <c r="F5" s="4"/>
      <c r="G5" s="4"/>
      <c r="H5" s="4"/>
      <c r="I5" s="4"/>
      <c r="J5" s="4"/>
      <c r="K5" s="4"/>
      <c r="L5" s="4"/>
      <c r="M5" s="4"/>
      <c r="N5" s="4"/>
      <c r="O5" s="4"/>
      <c r="P5" s="4"/>
      <c r="Q5" s="4"/>
      <c r="R5" s="4"/>
      <c r="S5" s="4"/>
      <c r="T5" s="4"/>
      <c r="U5" s="4"/>
      <c r="V5" s="4"/>
      <c r="W5" s="4"/>
      <c r="X5" s="4"/>
      <c r="Y5" s="4"/>
      <c r="Z5" s="4"/>
    </row>
    <row r="6" ht="30.0" customHeight="1">
      <c r="A6" s="19" t="s">
        <v>47</v>
      </c>
      <c r="B6" s="23">
        <v>0.005</v>
      </c>
      <c r="C6" s="19" t="s">
        <v>43</v>
      </c>
      <c r="D6" s="22" t="s">
        <v>52</v>
      </c>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66.0"/>
    <col customWidth="1" min="3" max="5" width="13.0"/>
    <col customWidth="1" min="6" max="6" width="12.0"/>
    <col customWidth="1" min="7" max="26" width="8.71"/>
  </cols>
  <sheetData>
    <row r="1">
      <c r="A1" s="3" t="s">
        <v>2</v>
      </c>
      <c r="B1" s="2"/>
      <c r="C1" s="2"/>
      <c r="D1" s="2"/>
      <c r="E1" s="2"/>
      <c r="F1" s="2"/>
    </row>
    <row r="2">
      <c r="A2" s="8" t="s">
        <v>6</v>
      </c>
      <c r="B2" s="9"/>
      <c r="C2" s="9"/>
      <c r="D2" s="9"/>
      <c r="E2" s="9"/>
      <c r="F2" s="9"/>
    </row>
    <row r="3">
      <c r="B3" s="12" t="s">
        <v>18</v>
      </c>
      <c r="C3" s="18" t="s">
        <v>28</v>
      </c>
      <c r="D3" s="18" t="s">
        <v>33</v>
      </c>
      <c r="E3" s="18" t="s">
        <v>34</v>
      </c>
      <c r="F3" s="18" t="s">
        <v>36</v>
      </c>
    </row>
    <row r="4">
      <c r="B4" s="20" t="s">
        <v>39</v>
      </c>
      <c r="C4" s="24">
        <f>RAW_Data!$C$15</f>
        <v>28542</v>
      </c>
      <c r="D4" s="24">
        <f>RAW_Data!$C$3</f>
        <v>29639</v>
      </c>
      <c r="E4" s="27">
        <f t="shared" ref="E4:E11" si="1">D4-C4</f>
        <v>1097</v>
      </c>
      <c r="F4" s="29">
        <f t="shared" ref="F4:F11" si="2">IF(C4&lt;=0,"n/m",E4/C4)</f>
        <v>0.03843458763</v>
      </c>
    </row>
    <row r="5">
      <c r="B5" s="20" t="s">
        <v>112</v>
      </c>
      <c r="C5" s="24">
        <f>RAW_Data!$C$16</f>
        <v>9035</v>
      </c>
      <c r="D5" s="24">
        <f>RAW_Data!$C$4</f>
        <v>9423</v>
      </c>
      <c r="E5" s="27">
        <f t="shared" si="1"/>
        <v>388</v>
      </c>
      <c r="F5" s="29">
        <f t="shared" si="2"/>
        <v>0.04294410625</v>
      </c>
    </row>
    <row r="6">
      <c r="B6" s="20" t="s">
        <v>115</v>
      </c>
      <c r="C6" s="24">
        <f>RAW_Data!$C$17</f>
        <v>4438</v>
      </c>
      <c r="D6" s="24">
        <f>RAW_Data!$C$5</f>
        <v>4575</v>
      </c>
      <c r="E6" s="27">
        <f t="shared" si="1"/>
        <v>137</v>
      </c>
      <c r="F6" s="29">
        <f t="shared" si="2"/>
        <v>0.03086976115</v>
      </c>
    </row>
    <row r="7">
      <c r="B7" s="20" t="s">
        <v>126</v>
      </c>
      <c r="C7" s="24">
        <f>RAW_Data!$C$18</f>
        <v>2438</v>
      </c>
      <c r="D7" s="24">
        <f>RAW_Data!$C$6</f>
        <v>2477</v>
      </c>
      <c r="E7" s="27">
        <f t="shared" si="1"/>
        <v>39</v>
      </c>
      <c r="F7" s="29">
        <f t="shared" si="2"/>
        <v>0.01599671862</v>
      </c>
    </row>
    <row r="8">
      <c r="B8" s="20" t="s">
        <v>141</v>
      </c>
      <c r="C8" s="24">
        <f>RAW_Data!$C$19</f>
        <v>2016</v>
      </c>
      <c r="D8" s="24">
        <f>RAW_Data!$C$7</f>
        <v>2073</v>
      </c>
      <c r="E8" s="27">
        <f t="shared" si="1"/>
        <v>57</v>
      </c>
      <c r="F8" s="29">
        <f t="shared" si="2"/>
        <v>0.02827380952</v>
      </c>
    </row>
    <row r="9">
      <c r="B9" s="20" t="s">
        <v>148</v>
      </c>
      <c r="C9" s="24">
        <f>RAW_Data!$C$20</f>
        <v>1113</v>
      </c>
      <c r="D9" s="24">
        <f>RAW_Data!$C$8</f>
        <v>1097</v>
      </c>
      <c r="E9" s="27">
        <f t="shared" si="1"/>
        <v>-16</v>
      </c>
      <c r="F9" s="29">
        <f t="shared" si="2"/>
        <v>-0.01437556155</v>
      </c>
    </row>
    <row r="10">
      <c r="B10" s="20" t="s">
        <v>158</v>
      </c>
      <c r="C10" s="24">
        <f>RAW_Data!$C$21</f>
        <v>5726</v>
      </c>
      <c r="D10" s="24">
        <f>RAW_Data!$C$9</f>
        <v>5862</v>
      </c>
      <c r="E10" s="27">
        <f t="shared" si="1"/>
        <v>136</v>
      </c>
      <c r="F10" s="29">
        <f t="shared" si="2"/>
        <v>0.02375130981</v>
      </c>
    </row>
    <row r="11">
      <c r="B11" s="20" t="s">
        <v>170</v>
      </c>
      <c r="C11" s="24">
        <f>RAW_Data!$C$22</f>
        <v>259</v>
      </c>
      <c r="D11" s="24">
        <f>RAW_Data!$C$10</f>
        <v>-14</v>
      </c>
      <c r="E11" s="27">
        <f t="shared" si="1"/>
        <v>-273</v>
      </c>
      <c r="F11" s="29">
        <f t="shared" si="2"/>
        <v>-1.054054054</v>
      </c>
    </row>
    <row r="12">
      <c r="B12" s="20" t="s">
        <v>181</v>
      </c>
      <c r="C12" s="27">
        <f t="shared" ref="C12:D12" si="3">SUM(C4:C11)</f>
        <v>53567</v>
      </c>
      <c r="D12" s="27">
        <f t="shared" si="3"/>
        <v>55132</v>
      </c>
      <c r="E12" s="37"/>
      <c r="F12" s="38"/>
    </row>
    <row r="13">
      <c r="B13" s="20" t="s">
        <v>207</v>
      </c>
      <c r="C13" s="24">
        <f>RAW_Data!$C$23</f>
        <v>53567</v>
      </c>
      <c r="D13" s="24">
        <f>RAW_Data!$C$12</f>
        <v>55132</v>
      </c>
      <c r="E13" s="27">
        <f>D13-C13</f>
        <v>1565</v>
      </c>
      <c r="F13" s="29">
        <f>E13/C13</f>
        <v>0.0292157485</v>
      </c>
    </row>
    <row r="14">
      <c r="B14" s="20" t="s">
        <v>209</v>
      </c>
      <c r="C14" s="27">
        <f t="shared" ref="C14:D14" si="4">C12-C13</f>
        <v>0</v>
      </c>
      <c r="D14" s="27">
        <f t="shared" si="4"/>
        <v>0</v>
      </c>
      <c r="E14" s="37"/>
      <c r="F14" s="38"/>
    </row>
    <row r="15">
      <c r="C15" s="39"/>
      <c r="D15" s="39"/>
      <c r="E15" s="39"/>
      <c r="F15" s="40"/>
    </row>
    <row r="16">
      <c r="B16" s="41" t="s">
        <v>211</v>
      </c>
      <c r="C16" s="42">
        <f t="shared" ref="C16:D16" si="5">SUM(C5:C10)</f>
        <v>24766</v>
      </c>
      <c r="D16" s="42">
        <f t="shared" si="5"/>
        <v>25507</v>
      </c>
      <c r="E16" s="42">
        <f t="shared" ref="E16:E17" si="6">D16-C16</f>
        <v>741</v>
      </c>
      <c r="F16" s="43">
        <f t="shared" ref="F16:F17" si="7">E16/C16</f>
        <v>0.02992005168</v>
      </c>
    </row>
    <row r="17">
      <c r="B17" s="41" t="s">
        <v>213</v>
      </c>
      <c r="C17" s="42">
        <f>C10</f>
        <v>5726</v>
      </c>
      <c r="D17" s="44">
        <f>D10-RAW_Data!$C$31</f>
        <v>5136</v>
      </c>
      <c r="E17" s="42">
        <f t="shared" si="6"/>
        <v>-590</v>
      </c>
      <c r="F17" s="43">
        <f t="shared" si="7"/>
        <v>-0.1030387705</v>
      </c>
    </row>
    <row r="19">
      <c r="B19" s="45" t="s">
        <v>216</v>
      </c>
      <c r="C19" s="45"/>
      <c r="D19" s="45"/>
      <c r="E19" s="45"/>
      <c r="F19" s="46"/>
    </row>
    <row r="21" ht="15.75" customHeight="1">
      <c r="B21" s="25"/>
      <c r="C21" s="26" t="s">
        <v>218</v>
      </c>
      <c r="D21" s="26" t="s">
        <v>28</v>
      </c>
      <c r="E21" s="26" t="s">
        <v>33</v>
      </c>
    </row>
    <row r="22" ht="15.75" customHeight="1">
      <c r="B22" s="20" t="s">
        <v>207</v>
      </c>
      <c r="C22" s="24">
        <f>RAW_Data!$C$25</f>
        <v>55970</v>
      </c>
      <c r="D22" s="24">
        <f>RAW_Data!$C$23</f>
        <v>53567</v>
      </c>
      <c r="E22" s="24">
        <f>RAW_Data!$C$12</f>
        <v>55132</v>
      </c>
    </row>
    <row r="23" ht="15.75" customHeight="1">
      <c r="B23" s="20" t="s">
        <v>219</v>
      </c>
      <c r="C23" s="24">
        <f>RAW_Data!$C$33</f>
        <v>372</v>
      </c>
      <c r="D23" s="24">
        <f>RAW_Data!$C$32</f>
        <v>318</v>
      </c>
      <c r="E23" s="24">
        <f>RAW_Data!$C$30</f>
        <v>877</v>
      </c>
    </row>
    <row r="24" ht="15.75" customHeight="1">
      <c r="B24" s="20" t="s">
        <v>220</v>
      </c>
      <c r="C24" s="24">
        <f>RAW_Data!$C$36</f>
        <v>1706</v>
      </c>
      <c r="D24" s="24">
        <f>RAW_Data!$C$35</f>
        <v>203</v>
      </c>
      <c r="E24" s="24">
        <f>RAW_Data!$C$34</f>
        <v>-238</v>
      </c>
    </row>
    <row r="25" ht="15.75" customHeight="1">
      <c r="B25" s="20" t="s">
        <v>202</v>
      </c>
      <c r="C25" s="27">
        <f t="shared" ref="C25:E25" si="8">C22-C23-C24</f>
        <v>53892</v>
      </c>
      <c r="D25" s="27">
        <f t="shared" si="8"/>
        <v>53046</v>
      </c>
      <c r="E25" s="27">
        <f t="shared" si="8"/>
        <v>54493</v>
      </c>
    </row>
    <row r="26" ht="15.75" customHeight="1">
      <c r="B26" s="20" t="s">
        <v>222</v>
      </c>
      <c r="C26" s="48"/>
      <c r="D26" s="27">
        <f t="shared" ref="D26:E26" si="9">D25-C25</f>
        <v>-846</v>
      </c>
      <c r="E26" s="27">
        <f t="shared" si="9"/>
        <v>1447</v>
      </c>
    </row>
    <row r="27" ht="15.75" customHeight="1">
      <c r="B27" s="20" t="s">
        <v>226</v>
      </c>
      <c r="C27" s="49"/>
      <c r="D27" s="29">
        <f t="shared" ref="D27:E27" si="10">D25/C25-1</f>
        <v>-0.01569806279</v>
      </c>
      <c r="E27" s="29">
        <f t="shared" si="10"/>
        <v>0.02727821136</v>
      </c>
    </row>
    <row r="28" ht="15.75" customHeight="1">
      <c r="B28" s="20" t="s">
        <v>229</v>
      </c>
      <c r="C28" s="49"/>
      <c r="D28" s="29">
        <f t="shared" ref="D28:E28" si="11">D22/C22-1</f>
        <v>-0.04293371449</v>
      </c>
      <c r="E28" s="29">
        <f t="shared" si="11"/>
        <v>0.0292157485</v>
      </c>
    </row>
    <row r="29" ht="15.75" customHeight="1"/>
    <row r="30" ht="15.75" customHeight="1">
      <c r="B30" s="41" t="s">
        <v>230</v>
      </c>
      <c r="C30" s="51"/>
      <c r="D30" s="51"/>
      <c r="E30" s="53">
        <f>RAW_Data!$C$31</f>
        <v>726</v>
      </c>
    </row>
    <row r="31" ht="15.75" customHeight="1">
      <c r="B31" s="41" t="s">
        <v>232</v>
      </c>
      <c r="C31" s="51"/>
      <c r="D31" s="51"/>
      <c r="E31" s="54">
        <f>E23-E30</f>
        <v>151</v>
      </c>
    </row>
    <row r="32" ht="15.75" customHeight="1"/>
    <row r="33" ht="15.75" customHeight="1">
      <c r="B33" s="41" t="s">
        <v>234</v>
      </c>
      <c r="C33" s="51"/>
      <c r="D33" s="51"/>
      <c r="E33" s="53">
        <f>RAW_Data!$C$37</f>
        <v>54400</v>
      </c>
    </row>
    <row r="34" ht="15.75" customHeight="1">
      <c r="B34" s="41" t="s">
        <v>236</v>
      </c>
      <c r="E34" s="54">
        <f>(E22-E30)-E33</f>
        <v>6</v>
      </c>
    </row>
    <row r="35" ht="15.75" customHeight="1">
      <c r="B35" s="41" t="s">
        <v>238</v>
      </c>
      <c r="E35" s="55">
        <f>E34/E33</f>
        <v>0.0001102941176</v>
      </c>
    </row>
    <row r="36" ht="15.75" customHeight="1"/>
    <row r="37" ht="42.0" customHeight="1">
      <c r="B37" s="56" t="s">
        <v>241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7:F37"/>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70.0"/>
    <col customWidth="1" min="3" max="7" width="13.0"/>
    <col customWidth="1" min="8" max="26" width="8.71"/>
  </cols>
  <sheetData>
    <row r="1">
      <c r="A1" s="3" t="s">
        <v>343</v>
      </c>
      <c r="B1" s="2"/>
      <c r="C1" s="2"/>
      <c r="D1" s="2"/>
      <c r="E1" s="2"/>
      <c r="F1" s="2"/>
      <c r="G1" s="4"/>
      <c r="H1" s="4"/>
      <c r="I1" s="4"/>
      <c r="J1" s="4"/>
      <c r="K1" s="4"/>
      <c r="L1" s="4"/>
      <c r="M1" s="4"/>
      <c r="N1" s="4"/>
      <c r="O1" s="4"/>
      <c r="P1" s="4"/>
      <c r="Q1" s="4"/>
      <c r="R1" s="4"/>
      <c r="S1" s="4"/>
      <c r="T1" s="4"/>
      <c r="U1" s="4"/>
      <c r="V1" s="4"/>
      <c r="W1" s="4"/>
      <c r="X1" s="4"/>
      <c r="Y1" s="4"/>
      <c r="Z1" s="4"/>
    </row>
    <row r="2">
      <c r="A2" s="8" t="s">
        <v>345</v>
      </c>
      <c r="B2" s="9"/>
      <c r="C2" s="9"/>
      <c r="D2" s="9"/>
      <c r="E2" s="9"/>
      <c r="F2" s="9"/>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72"/>
      <c r="B4" s="5"/>
      <c r="C4" s="7" t="s">
        <v>218</v>
      </c>
      <c r="D4" s="7" t="s">
        <v>28</v>
      </c>
      <c r="E4" s="7" t="s">
        <v>33</v>
      </c>
      <c r="F4" s="72"/>
      <c r="G4" s="72"/>
      <c r="H4" s="72"/>
      <c r="I4" s="72"/>
      <c r="J4" s="72"/>
      <c r="K4" s="72"/>
      <c r="L4" s="72"/>
      <c r="M4" s="72"/>
      <c r="N4" s="72"/>
      <c r="O4" s="72"/>
      <c r="P4" s="72"/>
      <c r="Q4" s="72"/>
      <c r="R4" s="72"/>
      <c r="S4" s="72"/>
      <c r="T4" s="72"/>
      <c r="U4" s="72"/>
      <c r="V4" s="72"/>
      <c r="W4" s="72"/>
      <c r="X4" s="72"/>
      <c r="Y4" s="72"/>
      <c r="Z4" s="72"/>
    </row>
    <row r="5">
      <c r="A5" s="4"/>
      <c r="B5" s="20" t="s">
        <v>346</v>
      </c>
      <c r="C5" s="24">
        <f>RAW_Data!$C$29</f>
        <v>239000</v>
      </c>
      <c r="D5" s="24">
        <f>RAW_Data!$C$28</f>
        <v>229000</v>
      </c>
      <c r="E5" s="24">
        <f>RAW_Data!$C$27</f>
        <v>226000</v>
      </c>
      <c r="F5" s="73"/>
      <c r="G5" s="73"/>
      <c r="H5" s="4"/>
      <c r="I5" s="4"/>
      <c r="J5" s="4"/>
      <c r="K5" s="4"/>
      <c r="L5" s="4"/>
      <c r="M5" s="4"/>
      <c r="N5" s="4"/>
      <c r="O5" s="4"/>
      <c r="P5" s="4"/>
      <c r="Q5" s="4"/>
      <c r="R5" s="4"/>
      <c r="S5" s="4"/>
      <c r="T5" s="4"/>
      <c r="U5" s="4"/>
      <c r="V5" s="4"/>
      <c r="W5" s="4"/>
      <c r="X5" s="4"/>
      <c r="Y5" s="4"/>
      <c r="Z5" s="4"/>
    </row>
    <row r="6">
      <c r="A6" s="4"/>
      <c r="B6" s="20" t="s">
        <v>347</v>
      </c>
      <c r="C6" s="48"/>
      <c r="D6" s="27">
        <f t="shared" ref="D6:E6" si="1">(C5+D5)/2</f>
        <v>234000</v>
      </c>
      <c r="E6" s="27">
        <f t="shared" si="1"/>
        <v>227500</v>
      </c>
      <c r="F6" s="73"/>
      <c r="G6" s="73"/>
      <c r="H6" s="4"/>
      <c r="I6" s="4"/>
      <c r="J6" s="4"/>
      <c r="K6" s="4"/>
      <c r="L6" s="4"/>
      <c r="M6" s="4"/>
      <c r="N6" s="4"/>
      <c r="O6" s="4"/>
      <c r="P6" s="4"/>
      <c r="Q6" s="4"/>
      <c r="R6" s="4"/>
      <c r="S6" s="4"/>
      <c r="T6" s="4"/>
      <c r="U6" s="4"/>
      <c r="V6" s="4"/>
      <c r="W6" s="4"/>
      <c r="X6" s="4"/>
      <c r="Y6" s="4"/>
      <c r="Z6" s="4"/>
    </row>
    <row r="7">
      <c r="A7" s="4"/>
      <c r="B7" s="20" t="s">
        <v>348</v>
      </c>
      <c r="C7" s="48"/>
      <c r="D7" s="24">
        <f>OPEX_YoY!C4</f>
        <v>28542</v>
      </c>
      <c r="E7" s="24">
        <f>OPEX_YoY!D4</f>
        <v>29639</v>
      </c>
      <c r="F7" s="73"/>
      <c r="G7" s="73"/>
      <c r="H7" s="4"/>
      <c r="I7" s="4"/>
      <c r="J7" s="4"/>
      <c r="K7" s="4"/>
      <c r="L7" s="4"/>
      <c r="M7" s="4"/>
      <c r="N7" s="4"/>
      <c r="O7" s="4"/>
      <c r="P7" s="4"/>
      <c r="Q7" s="4"/>
      <c r="R7" s="4"/>
      <c r="S7" s="4"/>
      <c r="T7" s="4"/>
      <c r="U7" s="4"/>
      <c r="V7" s="4"/>
      <c r="W7" s="4"/>
      <c r="X7" s="4"/>
      <c r="Y7" s="4"/>
      <c r="Z7" s="4"/>
    </row>
    <row r="8">
      <c r="A8" s="4"/>
      <c r="B8" s="20" t="s">
        <v>349</v>
      </c>
      <c r="C8" s="48"/>
      <c r="D8" s="27">
        <f t="shared" ref="D8:E8" si="2">D7*1000000/D6</f>
        <v>121974.359</v>
      </c>
      <c r="E8" s="27">
        <f t="shared" si="2"/>
        <v>130281.3187</v>
      </c>
      <c r="F8" s="73"/>
      <c r="G8" s="73"/>
      <c r="H8" s="4"/>
      <c r="I8" s="4"/>
      <c r="J8" s="4"/>
      <c r="K8" s="4"/>
      <c r="L8" s="4"/>
      <c r="M8" s="4"/>
      <c r="N8" s="4"/>
      <c r="O8" s="4"/>
      <c r="P8" s="4"/>
      <c r="Q8" s="4"/>
      <c r="R8" s="4"/>
      <c r="S8" s="4"/>
      <c r="T8" s="4"/>
      <c r="U8" s="4"/>
      <c r="V8" s="4"/>
      <c r="W8" s="4"/>
      <c r="X8" s="4"/>
      <c r="Y8" s="4"/>
      <c r="Z8" s="4"/>
    </row>
    <row r="9">
      <c r="A9" s="4"/>
      <c r="B9" s="20" t="s">
        <v>350</v>
      </c>
      <c r="C9" s="49"/>
      <c r="D9" s="49"/>
      <c r="E9" s="29">
        <f>E6/D6-1</f>
        <v>-0.02777777778</v>
      </c>
      <c r="F9" s="73"/>
      <c r="G9" s="73"/>
      <c r="H9" s="4"/>
      <c r="I9" s="4"/>
      <c r="J9" s="4"/>
      <c r="K9" s="4"/>
      <c r="L9" s="4"/>
      <c r="M9" s="4"/>
      <c r="N9" s="4"/>
      <c r="O9" s="4"/>
      <c r="P9" s="4"/>
      <c r="Q9" s="4"/>
      <c r="R9" s="4"/>
      <c r="S9" s="4"/>
      <c r="T9" s="4"/>
      <c r="U9" s="4"/>
      <c r="V9" s="4"/>
      <c r="W9" s="4"/>
      <c r="X9" s="4"/>
      <c r="Y9" s="4"/>
      <c r="Z9" s="4"/>
    </row>
    <row r="10">
      <c r="A10" s="4"/>
      <c r="B10" s="20" t="s">
        <v>351</v>
      </c>
      <c r="C10" s="49"/>
      <c r="D10" s="49"/>
      <c r="E10" s="29">
        <f>E8/D8-1</f>
        <v>0.06810414727</v>
      </c>
      <c r="F10" s="73"/>
      <c r="G10" s="73"/>
      <c r="H10" s="4"/>
      <c r="I10" s="4"/>
      <c r="J10" s="4"/>
      <c r="K10" s="4"/>
      <c r="L10" s="4"/>
      <c r="M10" s="4"/>
      <c r="N10" s="4"/>
      <c r="O10" s="4"/>
      <c r="P10" s="4"/>
      <c r="Q10" s="4"/>
      <c r="R10" s="4"/>
      <c r="S10" s="4"/>
      <c r="T10" s="4"/>
      <c r="U10" s="4"/>
      <c r="V10" s="4"/>
      <c r="W10" s="4"/>
      <c r="X10" s="4"/>
      <c r="Y10" s="4"/>
      <c r="Z10" s="4"/>
    </row>
    <row r="11" ht="42.0" customHeight="1">
      <c r="A11" s="4"/>
      <c r="B11" s="22" t="s">
        <v>352</v>
      </c>
      <c r="H11" s="4"/>
      <c r="I11" s="4"/>
      <c r="J11" s="4"/>
      <c r="K11" s="4"/>
      <c r="L11" s="4"/>
      <c r="M11" s="4"/>
      <c r="N11" s="4"/>
      <c r="O11" s="4"/>
      <c r="P11" s="4"/>
      <c r="Q11" s="4"/>
      <c r="R11" s="4"/>
      <c r="S11" s="4"/>
      <c r="T11" s="4"/>
      <c r="U11" s="4"/>
      <c r="V11" s="4"/>
      <c r="W11" s="4"/>
      <c r="X11" s="4"/>
      <c r="Y11" s="4"/>
      <c r="Z11" s="4"/>
    </row>
    <row r="12">
      <c r="A12" s="4"/>
      <c r="B12" s="73"/>
      <c r="C12" s="73"/>
      <c r="D12" s="73"/>
      <c r="E12" s="73"/>
      <c r="F12" s="73"/>
      <c r="G12" s="73"/>
      <c r="H12" s="4"/>
      <c r="I12" s="4"/>
      <c r="J12" s="4"/>
      <c r="K12" s="4"/>
      <c r="L12" s="4"/>
      <c r="M12" s="4"/>
      <c r="N12" s="4"/>
      <c r="O12" s="4"/>
      <c r="P12" s="4"/>
      <c r="Q12" s="4"/>
      <c r="R12" s="4"/>
      <c r="S12" s="4"/>
      <c r="T12" s="4"/>
      <c r="U12" s="4"/>
      <c r="V12" s="4"/>
      <c r="W12" s="4"/>
      <c r="X12" s="4"/>
      <c r="Y12" s="4"/>
      <c r="Z12" s="4"/>
    </row>
    <row r="13">
      <c r="A13" s="4"/>
      <c r="B13" s="75" t="s">
        <v>353</v>
      </c>
      <c r="C13" s="59"/>
      <c r="D13" s="59"/>
      <c r="E13" s="78"/>
      <c r="F13" s="78"/>
      <c r="G13" s="78"/>
      <c r="H13" s="4"/>
      <c r="I13" s="4"/>
      <c r="J13" s="4"/>
      <c r="K13" s="4"/>
      <c r="L13" s="4"/>
      <c r="M13" s="4"/>
      <c r="N13" s="4"/>
      <c r="O13" s="4"/>
      <c r="P13" s="4"/>
      <c r="Q13" s="4"/>
      <c r="R13" s="4"/>
      <c r="S13" s="4"/>
      <c r="T13" s="4"/>
      <c r="U13" s="4"/>
      <c r="V13" s="4"/>
      <c r="W13" s="4"/>
      <c r="X13" s="4"/>
      <c r="Y13" s="4"/>
      <c r="Z13" s="4"/>
    </row>
    <row r="14">
      <c r="A14" s="4"/>
      <c r="B14" s="20" t="s">
        <v>355</v>
      </c>
      <c r="C14" s="27">
        <f>D7</f>
        <v>28542</v>
      </c>
      <c r="D14" s="49"/>
      <c r="E14" s="73"/>
      <c r="F14" s="73"/>
      <c r="G14" s="73"/>
      <c r="H14" s="4"/>
      <c r="I14" s="4"/>
      <c r="J14" s="4"/>
      <c r="K14" s="4"/>
      <c r="L14" s="4"/>
      <c r="M14" s="4"/>
      <c r="N14" s="4"/>
      <c r="O14" s="4"/>
      <c r="P14" s="4"/>
      <c r="Q14" s="4"/>
      <c r="R14" s="4"/>
      <c r="S14" s="4"/>
      <c r="T14" s="4"/>
      <c r="U14" s="4"/>
      <c r="V14" s="4"/>
      <c r="W14" s="4"/>
      <c r="X14" s="4"/>
      <c r="Y14" s="4"/>
      <c r="Z14" s="4"/>
    </row>
    <row r="15">
      <c r="A15" s="4"/>
      <c r="B15" s="20" t="s">
        <v>357</v>
      </c>
      <c r="C15" s="27">
        <f>(E6-D6)*D8/1000000</f>
        <v>-792.8333333</v>
      </c>
      <c r="D15" s="49"/>
      <c r="E15" s="73"/>
      <c r="F15" s="73"/>
      <c r="G15" s="73"/>
      <c r="H15" s="4"/>
      <c r="I15" s="4"/>
      <c r="J15" s="4"/>
      <c r="K15" s="4"/>
      <c r="L15" s="4"/>
      <c r="M15" s="4"/>
      <c r="N15" s="4"/>
      <c r="O15" s="4"/>
      <c r="P15" s="4"/>
      <c r="Q15" s="4"/>
      <c r="R15" s="4"/>
      <c r="S15" s="4"/>
      <c r="T15" s="4"/>
      <c r="U15" s="4"/>
      <c r="V15" s="4"/>
      <c r="W15" s="4"/>
      <c r="X15" s="4"/>
      <c r="Y15" s="4"/>
      <c r="Z15" s="4"/>
    </row>
    <row r="16">
      <c r="A16" s="4"/>
      <c r="B16" s="20" t="s">
        <v>359</v>
      </c>
      <c r="C16" s="27">
        <f>(E8-D8)*E6/1000000</f>
        <v>1889.833333</v>
      </c>
      <c r="D16" s="49"/>
      <c r="E16" s="73"/>
      <c r="F16" s="73"/>
      <c r="G16" s="73"/>
      <c r="H16" s="4"/>
      <c r="I16" s="4"/>
      <c r="J16" s="4"/>
      <c r="K16" s="4"/>
      <c r="L16" s="4"/>
      <c r="M16" s="4"/>
      <c r="N16" s="4"/>
      <c r="O16" s="4"/>
      <c r="P16" s="4"/>
      <c r="Q16" s="4"/>
      <c r="R16" s="4"/>
      <c r="S16" s="4"/>
      <c r="T16" s="4"/>
      <c r="U16" s="4"/>
      <c r="V16" s="4"/>
      <c r="W16" s="4"/>
      <c r="X16" s="4"/>
      <c r="Y16" s="4"/>
      <c r="Z16" s="4"/>
    </row>
    <row r="17">
      <c r="A17" s="4"/>
      <c r="B17" s="20" t="s">
        <v>360</v>
      </c>
      <c r="C17" s="27">
        <f>SUM(C14:C16)</f>
        <v>29639</v>
      </c>
      <c r="D17" s="49"/>
      <c r="E17" s="73"/>
      <c r="F17" s="73"/>
      <c r="G17" s="73"/>
      <c r="H17" s="4"/>
      <c r="I17" s="4"/>
      <c r="J17" s="4"/>
      <c r="K17" s="4"/>
      <c r="L17" s="4"/>
      <c r="M17" s="4"/>
      <c r="N17" s="4"/>
      <c r="O17" s="4"/>
      <c r="P17" s="4"/>
      <c r="Q17" s="4"/>
      <c r="R17" s="4"/>
      <c r="S17" s="4"/>
      <c r="T17" s="4"/>
      <c r="U17" s="4"/>
      <c r="V17" s="4"/>
      <c r="W17" s="4"/>
      <c r="X17" s="4"/>
      <c r="Y17" s="4"/>
      <c r="Z17" s="4"/>
    </row>
    <row r="18">
      <c r="A18" s="4"/>
      <c r="B18" s="20" t="s">
        <v>361</v>
      </c>
      <c r="C18" s="86">
        <f>ROUND(C17-E7,1)</f>
        <v>0</v>
      </c>
      <c r="D18" s="20" t="s">
        <v>362</v>
      </c>
      <c r="E18" s="73"/>
      <c r="F18" s="73"/>
      <c r="G18" s="73"/>
      <c r="H18" s="4"/>
      <c r="I18" s="4"/>
      <c r="J18" s="4"/>
      <c r="K18" s="4"/>
      <c r="L18" s="4"/>
      <c r="M18" s="4"/>
      <c r="N18" s="4"/>
      <c r="O18" s="4"/>
      <c r="P18" s="4"/>
      <c r="Q18" s="4"/>
      <c r="R18" s="4"/>
      <c r="S18" s="4"/>
      <c r="T18" s="4"/>
      <c r="U18" s="4"/>
      <c r="V18" s="4"/>
      <c r="W18" s="4"/>
      <c r="X18" s="4"/>
      <c r="Y18" s="4"/>
      <c r="Z18" s="4"/>
    </row>
    <row r="19">
      <c r="A19" s="4"/>
      <c r="B19" s="19" t="s">
        <v>363</v>
      </c>
      <c r="C19" s="34">
        <f>RAW_Data!$C$11</f>
        <v>400</v>
      </c>
      <c r="D19" s="73"/>
      <c r="E19" s="73"/>
      <c r="F19" s="73"/>
      <c r="G19" s="73"/>
      <c r="H19" s="4"/>
      <c r="I19" s="4"/>
      <c r="J19" s="4"/>
      <c r="K19" s="4"/>
      <c r="L19" s="4"/>
      <c r="M19" s="4"/>
      <c r="N19" s="4"/>
      <c r="O19" s="4"/>
      <c r="P19" s="4"/>
      <c r="Q19" s="4"/>
      <c r="R19" s="4"/>
      <c r="S19" s="4"/>
      <c r="T19" s="4"/>
      <c r="U19" s="4"/>
      <c r="V19" s="4"/>
      <c r="W19" s="4"/>
      <c r="X19" s="4"/>
      <c r="Y19" s="4"/>
      <c r="Z19" s="4"/>
    </row>
    <row r="20">
      <c r="A20" s="4"/>
      <c r="B20" s="19" t="s">
        <v>364</v>
      </c>
      <c r="C20" s="94">
        <f>C19/C16</f>
        <v>0.2116588764</v>
      </c>
      <c r="D20" s="95" t="s">
        <v>366</v>
      </c>
      <c r="E20" s="73"/>
      <c r="F20" s="73"/>
      <c r="G20" s="73"/>
      <c r="H20" s="4"/>
      <c r="I20" s="4"/>
      <c r="J20" s="4"/>
      <c r="K20" s="4"/>
      <c r="L20" s="4"/>
      <c r="M20" s="4"/>
      <c r="N20" s="4"/>
      <c r="O20" s="4"/>
      <c r="P20" s="4"/>
      <c r="Q20" s="4"/>
      <c r="R20" s="4"/>
      <c r="S20" s="4"/>
      <c r="T20" s="4"/>
      <c r="U20" s="4"/>
      <c r="V20" s="4"/>
      <c r="W20" s="4"/>
      <c r="X20" s="4"/>
      <c r="Y20" s="4"/>
      <c r="Z20" s="4"/>
    </row>
    <row r="21" ht="15.75" customHeight="1">
      <c r="A21" s="72"/>
      <c r="B21" s="75" t="s">
        <v>367</v>
      </c>
      <c r="C21" s="75"/>
      <c r="D21" s="75"/>
      <c r="E21" s="75"/>
      <c r="F21" s="75"/>
      <c r="G21" s="75"/>
      <c r="H21" s="72"/>
      <c r="I21" s="72"/>
      <c r="J21" s="72"/>
      <c r="K21" s="72"/>
      <c r="L21" s="72"/>
      <c r="M21" s="72"/>
      <c r="N21" s="72"/>
      <c r="O21" s="72"/>
      <c r="P21" s="72"/>
      <c r="Q21" s="72"/>
      <c r="R21" s="72"/>
      <c r="S21" s="72"/>
      <c r="T21" s="72"/>
      <c r="U21" s="72"/>
      <c r="V21" s="72"/>
      <c r="W21" s="72"/>
      <c r="X21" s="72"/>
      <c r="Y21" s="72"/>
      <c r="Z21" s="72"/>
    </row>
    <row r="22" ht="15.75" customHeight="1">
      <c r="A22" s="72"/>
      <c r="B22" s="25" t="s">
        <v>368</v>
      </c>
      <c r="C22" s="26" t="s">
        <v>369</v>
      </c>
      <c r="D22" s="26" t="s">
        <v>370</v>
      </c>
      <c r="E22" s="26" t="s">
        <v>371</v>
      </c>
      <c r="F22" s="26" t="s">
        <v>372</v>
      </c>
      <c r="G22" s="26" t="s">
        <v>373</v>
      </c>
      <c r="H22" s="72"/>
      <c r="I22" s="72"/>
      <c r="J22" s="72"/>
      <c r="K22" s="72"/>
      <c r="L22" s="72"/>
      <c r="M22" s="72"/>
      <c r="N22" s="72"/>
      <c r="O22" s="72"/>
      <c r="P22" s="72"/>
      <c r="Q22" s="72"/>
      <c r="R22" s="72"/>
      <c r="S22" s="72"/>
      <c r="T22" s="72"/>
      <c r="U22" s="72"/>
      <c r="V22" s="72"/>
      <c r="W22" s="72"/>
      <c r="X22" s="72"/>
      <c r="Y22" s="72"/>
      <c r="Z22" s="72"/>
    </row>
    <row r="23" ht="15.75" customHeight="1">
      <c r="A23" s="4"/>
      <c r="B23" s="20" t="s">
        <v>374</v>
      </c>
      <c r="C23" s="27" t="s">
        <v>375</v>
      </c>
      <c r="D23" s="24">
        <f>RAW_Data!$C$23</f>
        <v>53567</v>
      </c>
      <c r="E23" s="27">
        <f>D23</f>
        <v>53567</v>
      </c>
      <c r="F23" s="27">
        <f>0</f>
        <v>0</v>
      </c>
      <c r="G23" s="27">
        <f>E23</f>
        <v>53567</v>
      </c>
      <c r="H23" s="4"/>
      <c r="I23" s="4"/>
      <c r="J23" s="4"/>
      <c r="K23" s="4"/>
      <c r="L23" s="4"/>
      <c r="M23" s="4"/>
      <c r="N23" s="4"/>
      <c r="O23" s="4"/>
      <c r="P23" s="4"/>
      <c r="Q23" s="4"/>
      <c r="R23" s="4"/>
      <c r="S23" s="4"/>
      <c r="T23" s="4"/>
      <c r="U23" s="4"/>
      <c r="V23" s="4"/>
      <c r="W23" s="4"/>
      <c r="X23" s="4"/>
      <c r="Y23" s="4"/>
      <c r="Z23" s="4"/>
    </row>
    <row r="24" ht="15.75" customHeight="1">
      <c r="A24" s="4"/>
      <c r="B24" s="20" t="s">
        <v>376</v>
      </c>
      <c r="C24" s="27">
        <f t="shared" ref="C24:C25" si="3">C15</f>
        <v>-792.8333333</v>
      </c>
      <c r="D24" s="27">
        <f t="shared" ref="D24:D27" si="4">E23</f>
        <v>53567</v>
      </c>
      <c r="E24" s="27">
        <f t="shared" ref="E24:E27" si="5">D24+C24</f>
        <v>52774.16667</v>
      </c>
      <c r="F24" s="27">
        <f t="shared" ref="F24:F27" si="6">MIN(D24,E24)</f>
        <v>52774.16667</v>
      </c>
      <c r="G24" s="27">
        <f t="shared" ref="G24:G27" si="7">ABS(C24)</f>
        <v>792.8333333</v>
      </c>
      <c r="H24" s="4"/>
      <c r="I24" s="4"/>
      <c r="J24" s="4"/>
      <c r="K24" s="4"/>
      <c r="L24" s="4"/>
      <c r="M24" s="4"/>
      <c r="N24" s="4"/>
      <c r="O24" s="4"/>
      <c r="P24" s="4"/>
      <c r="Q24" s="4"/>
      <c r="R24" s="4"/>
      <c r="S24" s="4"/>
      <c r="T24" s="4"/>
      <c r="U24" s="4"/>
      <c r="V24" s="4"/>
      <c r="W24" s="4"/>
      <c r="X24" s="4"/>
      <c r="Y24" s="4"/>
      <c r="Z24" s="4"/>
    </row>
    <row r="25" ht="15.75" customHeight="1">
      <c r="A25" s="4"/>
      <c r="B25" s="20" t="s">
        <v>378</v>
      </c>
      <c r="C25" s="27">
        <f t="shared" si="3"/>
        <v>1889.833333</v>
      </c>
      <c r="D25" s="27">
        <f t="shared" si="4"/>
        <v>52774.16667</v>
      </c>
      <c r="E25" s="27">
        <f t="shared" si="5"/>
        <v>54664</v>
      </c>
      <c r="F25" s="27">
        <f t="shared" si="6"/>
        <v>52774.16667</v>
      </c>
      <c r="G25" s="27">
        <f t="shared" si="7"/>
        <v>1889.833333</v>
      </c>
      <c r="H25" s="4"/>
      <c r="I25" s="4"/>
      <c r="J25" s="4"/>
      <c r="K25" s="4"/>
      <c r="L25" s="4"/>
      <c r="M25" s="4"/>
      <c r="N25" s="4"/>
      <c r="O25" s="4"/>
      <c r="P25" s="4"/>
      <c r="Q25" s="4"/>
      <c r="R25" s="4"/>
      <c r="S25" s="4"/>
      <c r="T25" s="4"/>
      <c r="U25" s="4"/>
      <c r="V25" s="4"/>
      <c r="W25" s="4"/>
      <c r="X25" s="4"/>
      <c r="Y25" s="4"/>
      <c r="Z25" s="4"/>
    </row>
    <row r="26" ht="15.75" customHeight="1">
      <c r="A26" s="4"/>
      <c r="B26" s="20" t="s">
        <v>379</v>
      </c>
      <c r="C26" s="24">
        <f>OPEX_YoY!E16</f>
        <v>741</v>
      </c>
      <c r="D26" s="27">
        <f t="shared" si="4"/>
        <v>54664</v>
      </c>
      <c r="E26" s="27">
        <f t="shared" si="5"/>
        <v>55405</v>
      </c>
      <c r="F26" s="27">
        <f t="shared" si="6"/>
        <v>54664</v>
      </c>
      <c r="G26" s="27">
        <f t="shared" si="7"/>
        <v>741</v>
      </c>
      <c r="H26" s="4"/>
      <c r="I26" s="4"/>
      <c r="J26" s="4"/>
      <c r="K26" s="4"/>
      <c r="L26" s="4"/>
      <c r="M26" s="4"/>
      <c r="N26" s="4"/>
      <c r="O26" s="4"/>
      <c r="P26" s="4"/>
      <c r="Q26" s="4"/>
      <c r="R26" s="4"/>
      <c r="S26" s="4"/>
      <c r="T26" s="4"/>
      <c r="U26" s="4"/>
      <c r="V26" s="4"/>
      <c r="W26" s="4"/>
      <c r="X26" s="4"/>
      <c r="Y26" s="4"/>
      <c r="Z26" s="4"/>
    </row>
    <row r="27" ht="15.75" customHeight="1">
      <c r="A27" s="4"/>
      <c r="B27" s="20" t="s">
        <v>381</v>
      </c>
      <c r="C27" s="24">
        <f>OPEX_YoY!E11</f>
        <v>-273</v>
      </c>
      <c r="D27" s="27">
        <f t="shared" si="4"/>
        <v>55405</v>
      </c>
      <c r="E27" s="27">
        <f t="shared" si="5"/>
        <v>55132</v>
      </c>
      <c r="F27" s="27">
        <f t="shared" si="6"/>
        <v>55132</v>
      </c>
      <c r="G27" s="27">
        <f t="shared" si="7"/>
        <v>273</v>
      </c>
      <c r="H27" s="4"/>
      <c r="I27" s="4"/>
      <c r="J27" s="4"/>
      <c r="K27" s="4"/>
      <c r="L27" s="4"/>
      <c r="M27" s="4"/>
      <c r="N27" s="4"/>
      <c r="O27" s="4"/>
      <c r="P27" s="4"/>
      <c r="Q27" s="4"/>
      <c r="R27" s="4"/>
      <c r="S27" s="4"/>
      <c r="T27" s="4"/>
      <c r="U27" s="4"/>
      <c r="V27" s="4"/>
      <c r="W27" s="4"/>
      <c r="X27" s="4"/>
      <c r="Y27" s="4"/>
      <c r="Z27" s="4"/>
    </row>
    <row r="28" ht="15.75" customHeight="1">
      <c r="A28" s="4"/>
      <c r="B28" s="20" t="s">
        <v>383</v>
      </c>
      <c r="C28" s="27">
        <f>E27</f>
        <v>55132</v>
      </c>
      <c r="D28" s="27" t="s">
        <v>375</v>
      </c>
      <c r="E28" s="27">
        <f>E27</f>
        <v>55132</v>
      </c>
      <c r="F28" s="27">
        <f>0</f>
        <v>0</v>
      </c>
      <c r="G28" s="27">
        <f>E28</f>
        <v>55132</v>
      </c>
      <c r="H28" s="4"/>
      <c r="I28" s="4"/>
      <c r="J28" s="4"/>
      <c r="K28" s="4"/>
      <c r="L28" s="4"/>
      <c r="M28" s="4"/>
      <c r="N28" s="4"/>
      <c r="O28" s="4"/>
      <c r="P28" s="4"/>
      <c r="Q28" s="4"/>
      <c r="R28" s="4"/>
      <c r="S28" s="4"/>
      <c r="T28" s="4"/>
      <c r="U28" s="4"/>
      <c r="V28" s="4"/>
      <c r="W28" s="4"/>
      <c r="X28" s="4"/>
      <c r="Y28" s="4"/>
      <c r="Z28" s="4"/>
    </row>
    <row r="29" ht="15.75" customHeight="1">
      <c r="A29" s="4"/>
      <c r="B29" s="20" t="s">
        <v>384</v>
      </c>
      <c r="C29" s="111">
        <f>ROUND(C28-RAW_Data!$C$12,1)</f>
        <v>0</v>
      </c>
      <c r="D29" s="49"/>
      <c r="E29" s="49"/>
      <c r="F29" s="49"/>
      <c r="G29" s="49"/>
      <c r="H29" s="4"/>
      <c r="I29" s="4"/>
      <c r="J29" s="4"/>
      <c r="K29" s="4"/>
      <c r="L29" s="4"/>
      <c r="M29" s="4"/>
      <c r="N29" s="4"/>
      <c r="O29" s="4"/>
      <c r="P29" s="4"/>
      <c r="Q29" s="4"/>
      <c r="R29" s="4"/>
      <c r="S29" s="4"/>
      <c r="T29" s="4"/>
      <c r="U29" s="4"/>
      <c r="V29" s="4"/>
      <c r="W29" s="4"/>
      <c r="X29" s="4"/>
      <c r="Y29" s="4"/>
      <c r="Z29" s="4"/>
    </row>
    <row r="30" ht="30.0" customHeight="1">
      <c r="A30" s="4"/>
      <c r="B30" s="22" t="s">
        <v>386</v>
      </c>
      <c r="H30" s="4"/>
      <c r="I30" s="4"/>
      <c r="J30" s="4"/>
      <c r="K30" s="4"/>
      <c r="L30" s="4"/>
      <c r="M30" s="4"/>
      <c r="N30" s="4"/>
      <c r="O30" s="4"/>
      <c r="P30" s="4"/>
      <c r="Q30" s="4"/>
      <c r="R30" s="4"/>
      <c r="S30" s="4"/>
      <c r="T30" s="4"/>
      <c r="U30" s="4"/>
      <c r="V30" s="4"/>
      <c r="W30" s="4"/>
      <c r="X30" s="4"/>
      <c r="Y30" s="4"/>
      <c r="Z30" s="4"/>
    </row>
    <row r="31" ht="15.75" customHeight="1">
      <c r="A31" s="4"/>
      <c r="B31" s="73"/>
      <c r="C31" s="73"/>
      <c r="D31" s="73"/>
      <c r="E31" s="73"/>
      <c r="F31" s="73"/>
      <c r="G31" s="73"/>
      <c r="H31" s="4"/>
      <c r="I31" s="4"/>
      <c r="J31" s="4"/>
      <c r="K31" s="4"/>
      <c r="L31" s="4"/>
      <c r="M31" s="4"/>
      <c r="N31" s="4"/>
      <c r="O31" s="4"/>
      <c r="P31" s="4"/>
      <c r="Q31" s="4"/>
      <c r="R31" s="4"/>
      <c r="S31" s="4"/>
      <c r="T31" s="4"/>
      <c r="U31" s="4"/>
      <c r="V31" s="4"/>
      <c r="W31" s="4"/>
      <c r="X31" s="4"/>
      <c r="Y31" s="4"/>
      <c r="Z31" s="4"/>
    </row>
    <row r="32" ht="15.75" customHeight="1">
      <c r="A32" s="4"/>
      <c r="B32" s="75" t="s">
        <v>388</v>
      </c>
      <c r="C32" s="59"/>
      <c r="D32" s="78"/>
      <c r="E32" s="78"/>
      <c r="F32" s="78"/>
      <c r="G32" s="78"/>
      <c r="H32" s="4"/>
      <c r="I32" s="4"/>
      <c r="J32" s="4"/>
      <c r="K32" s="4"/>
      <c r="L32" s="4"/>
      <c r="M32" s="4"/>
      <c r="N32" s="4"/>
      <c r="O32" s="4"/>
      <c r="P32" s="4"/>
      <c r="Q32" s="4"/>
      <c r="R32" s="4"/>
      <c r="S32" s="4"/>
      <c r="T32" s="4"/>
      <c r="U32" s="4"/>
      <c r="V32" s="4"/>
      <c r="W32" s="4"/>
      <c r="X32" s="4"/>
      <c r="Y32" s="4"/>
      <c r="Z32" s="4"/>
    </row>
    <row r="33" ht="15.75" customHeight="1">
      <c r="A33" s="4"/>
      <c r="B33" s="20" t="s">
        <v>389</v>
      </c>
      <c r="C33" s="24">
        <f>RAW_Data!$C$12-RAW_Data!$C$23</f>
        <v>1565</v>
      </c>
      <c r="D33" s="73"/>
      <c r="E33" s="73"/>
      <c r="F33" s="73"/>
      <c r="G33" s="73"/>
      <c r="H33" s="4"/>
      <c r="I33" s="4"/>
      <c r="J33" s="4"/>
      <c r="K33" s="4"/>
      <c r="L33" s="4"/>
      <c r="M33" s="4"/>
      <c r="N33" s="4"/>
      <c r="O33" s="4"/>
      <c r="P33" s="4"/>
      <c r="Q33" s="4"/>
      <c r="R33" s="4"/>
      <c r="S33" s="4"/>
      <c r="T33" s="4"/>
      <c r="U33" s="4"/>
      <c r="V33" s="4"/>
      <c r="W33" s="4"/>
      <c r="X33" s="4"/>
      <c r="Y33" s="4"/>
      <c r="Z33" s="4"/>
    </row>
    <row r="34" ht="15.75" customHeight="1">
      <c r="A34" s="4"/>
      <c r="B34" s="20" t="s">
        <v>390</v>
      </c>
      <c r="C34" s="24">
        <f>RAW_Data!$C$30-RAW_Data!$C$32</f>
        <v>559</v>
      </c>
      <c r="D34" s="73"/>
      <c r="E34" s="73"/>
      <c r="F34" s="73"/>
      <c r="G34" s="73"/>
      <c r="H34" s="4"/>
      <c r="I34" s="4"/>
      <c r="J34" s="4"/>
      <c r="K34" s="4"/>
      <c r="L34" s="4"/>
      <c r="M34" s="4"/>
      <c r="N34" s="4"/>
      <c r="O34" s="4"/>
      <c r="P34" s="4"/>
      <c r="Q34" s="4"/>
      <c r="R34" s="4"/>
      <c r="S34" s="4"/>
      <c r="T34" s="4"/>
      <c r="U34" s="4"/>
      <c r="V34" s="4"/>
      <c r="W34" s="4"/>
      <c r="X34" s="4"/>
      <c r="Y34" s="4"/>
      <c r="Z34" s="4"/>
    </row>
    <row r="35" ht="15.75" customHeight="1">
      <c r="A35" s="4"/>
      <c r="B35" s="20" t="s">
        <v>391</v>
      </c>
      <c r="C35" s="24">
        <f>RAW_Data!$C$34-RAW_Data!$C$35</f>
        <v>-441</v>
      </c>
      <c r="D35" s="73"/>
      <c r="E35" s="73"/>
      <c r="F35" s="73"/>
      <c r="G35" s="73"/>
      <c r="H35" s="4"/>
      <c r="I35" s="4"/>
      <c r="J35" s="4"/>
      <c r="K35" s="4"/>
      <c r="L35" s="4"/>
      <c r="M35" s="4"/>
      <c r="N35" s="4"/>
      <c r="O35" s="4"/>
      <c r="P35" s="4"/>
      <c r="Q35" s="4"/>
      <c r="R35" s="4"/>
      <c r="S35" s="4"/>
      <c r="T35" s="4"/>
      <c r="U35" s="4"/>
      <c r="V35" s="4"/>
      <c r="W35" s="4"/>
      <c r="X35" s="4"/>
      <c r="Y35" s="4"/>
      <c r="Z35" s="4"/>
    </row>
    <row r="36" ht="15.75" customHeight="1">
      <c r="A36" s="4"/>
      <c r="B36" s="20" t="s">
        <v>394</v>
      </c>
      <c r="C36" s="27">
        <f>C33-C34-C35</f>
        <v>1447</v>
      </c>
      <c r="D36" s="73"/>
      <c r="E36" s="73"/>
      <c r="F36" s="73"/>
      <c r="G36" s="73"/>
      <c r="H36" s="4"/>
      <c r="I36" s="4"/>
      <c r="J36" s="4"/>
      <c r="K36" s="4"/>
      <c r="L36" s="4"/>
      <c r="M36" s="4"/>
      <c r="N36" s="4"/>
      <c r="O36" s="4"/>
      <c r="P36" s="4"/>
      <c r="Q36" s="4"/>
      <c r="R36" s="4"/>
      <c r="S36" s="4"/>
      <c r="T36" s="4"/>
      <c r="U36" s="4"/>
      <c r="V36" s="4"/>
      <c r="W36" s="4"/>
      <c r="X36" s="4"/>
      <c r="Y36" s="4"/>
      <c r="Z36" s="4"/>
    </row>
    <row r="37" ht="15.75" customHeight="1">
      <c r="A37" s="4"/>
      <c r="B37" s="20" t="s">
        <v>395</v>
      </c>
      <c r="C37" s="111">
        <f>ROUND(C36-OPEX_YoY!E26,1)</f>
        <v>0</v>
      </c>
      <c r="D37" s="73"/>
      <c r="E37" s="73"/>
      <c r="F37" s="73"/>
      <c r="G37" s="73"/>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11:G11"/>
    <mergeCell ref="B30:G30"/>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62.0"/>
    <col customWidth="1" min="3" max="3" width="14.0"/>
    <col customWidth="1" min="4" max="4" width="70.0"/>
    <col customWidth="1" min="5" max="26" width="8.71"/>
  </cols>
  <sheetData>
    <row r="1">
      <c r="A1" s="3" t="s">
        <v>265</v>
      </c>
      <c r="B1" s="2"/>
      <c r="C1" s="2"/>
      <c r="D1" s="2"/>
    </row>
    <row r="2">
      <c r="A2" s="8" t="s">
        <v>267</v>
      </c>
      <c r="B2" s="9"/>
      <c r="C2" s="9"/>
      <c r="D2" s="9"/>
    </row>
    <row r="4">
      <c r="B4" s="59" t="s">
        <v>269</v>
      </c>
      <c r="C4" s="59"/>
      <c r="D4" s="59"/>
    </row>
    <row r="5">
      <c r="B5" s="20" t="s">
        <v>272</v>
      </c>
      <c r="C5" s="24">
        <f>RAW_Data!$C$39</f>
        <v>155363</v>
      </c>
      <c r="D5" s="49"/>
    </row>
    <row r="6">
      <c r="B6" s="20" t="s">
        <v>277</v>
      </c>
      <c r="C6" s="24">
        <f>RAW_Data!$C$13</f>
        <v>14306</v>
      </c>
      <c r="D6" s="49"/>
    </row>
    <row r="7">
      <c r="B7" s="20" t="s">
        <v>283</v>
      </c>
      <c r="C7" s="24">
        <f>-RAW_Data!$C$42</f>
        <v>-5372</v>
      </c>
      <c r="D7" s="49"/>
    </row>
    <row r="8">
      <c r="B8" s="20" t="s">
        <v>288</v>
      </c>
      <c r="C8" s="24">
        <f>-RAW_Data!$C$43</f>
        <v>-13250</v>
      </c>
      <c r="D8" s="49"/>
    </row>
    <row r="9">
      <c r="B9" s="20" t="s">
        <v>293</v>
      </c>
      <c r="C9" s="27">
        <f>SUM(C5:C8)</f>
        <v>151047</v>
      </c>
      <c r="D9" s="20" t="s">
        <v>301</v>
      </c>
    </row>
    <row r="10">
      <c r="B10" s="20" t="s">
        <v>302</v>
      </c>
      <c r="C10" s="27">
        <f>C11-C9</f>
        <v>6052</v>
      </c>
      <c r="D10" s="20" t="s">
        <v>311</v>
      </c>
    </row>
    <row r="11">
      <c r="B11" s="20" t="s">
        <v>312</v>
      </c>
      <c r="C11" s="24">
        <f>RAW_Data!$C$38</f>
        <v>157099</v>
      </c>
      <c r="D11" s="49"/>
    </row>
    <row r="12">
      <c r="B12" s="20" t="s">
        <v>314</v>
      </c>
      <c r="C12" s="24">
        <f>RAW_Data!$C$45-RAW_Data!$C$44</f>
        <v>5955</v>
      </c>
      <c r="D12" s="60" t="s">
        <v>315</v>
      </c>
    </row>
    <row r="13">
      <c r="B13" s="20" t="s">
        <v>316</v>
      </c>
      <c r="C13" s="27">
        <f>C10-C12</f>
        <v>97</v>
      </c>
      <c r="D13" s="20" t="s">
        <v>317</v>
      </c>
    </row>
    <row r="14">
      <c r="B14" s="59" t="s">
        <v>318</v>
      </c>
      <c r="C14" s="59"/>
      <c r="D14" s="59"/>
    </row>
    <row r="15">
      <c r="B15" s="20" t="s">
        <v>319</v>
      </c>
      <c r="C15" s="24">
        <f>RAW_Data!$C$41</f>
        <v>1139988</v>
      </c>
      <c r="D15" s="49"/>
    </row>
    <row r="16">
      <c r="B16" s="20" t="s">
        <v>320</v>
      </c>
      <c r="C16" s="24">
        <f>RAW_Data!$C$40</f>
        <v>1192174</v>
      </c>
      <c r="D16" s="49"/>
    </row>
    <row r="17">
      <c r="B17" s="20" t="s">
        <v>321</v>
      </c>
      <c r="C17" s="27">
        <f>C16-C15</f>
        <v>52186</v>
      </c>
      <c r="D17" s="49"/>
    </row>
    <row r="18">
      <c r="B18" s="20" t="s">
        <v>322</v>
      </c>
      <c r="C18" s="29">
        <f>C17/C15</f>
        <v>0.04577767485</v>
      </c>
      <c r="D18" s="49"/>
    </row>
    <row r="19">
      <c r="B19" s="20" t="s">
        <v>323</v>
      </c>
      <c r="C19" s="27">
        <f>C11-C5</f>
        <v>1736</v>
      </c>
      <c r="D19" s="49"/>
    </row>
    <row r="20">
      <c r="B20" s="20" t="s">
        <v>324</v>
      </c>
      <c r="C20" s="61">
        <f>C19/C5</f>
        <v>0.01117383161</v>
      </c>
      <c r="D20" s="49"/>
    </row>
    <row r="21" ht="15.75" customHeight="1">
      <c r="B21" s="20" t="s">
        <v>325</v>
      </c>
      <c r="C21" s="61">
        <f>C5/C15</f>
        <v>0.1362847679</v>
      </c>
      <c r="D21" s="49"/>
    </row>
    <row r="22" ht="15.75" customHeight="1">
      <c r="B22" s="20" t="s">
        <v>326</v>
      </c>
      <c r="C22" s="61">
        <f>C11/C16</f>
        <v>0.1317752274</v>
      </c>
      <c r="D22" s="49"/>
    </row>
    <row r="23" ht="15.75" customHeight="1">
      <c r="B23" s="20" t="s">
        <v>327</v>
      </c>
      <c r="C23" s="61">
        <f>C22-C21</f>
        <v>-0.004509540468</v>
      </c>
      <c r="D23" s="49"/>
    </row>
    <row r="24" ht="15.75" customHeight="1">
      <c r="B24" s="20" t="s">
        <v>328</v>
      </c>
      <c r="C24" s="61">
        <f>(C11-C5)/C16</f>
        <v>0.001456163278</v>
      </c>
      <c r="D24" s="49"/>
    </row>
    <row r="25" ht="15.75" customHeight="1">
      <c r="B25" s="20" t="s">
        <v>329</v>
      </c>
      <c r="C25" s="61">
        <f>C5*(1/C16-1/C15)</f>
        <v>-0.005965703746</v>
      </c>
      <c r="D25" s="49"/>
    </row>
    <row r="26" ht="15.75" customHeight="1">
      <c r="B26" s="20" t="s">
        <v>330</v>
      </c>
      <c r="C26" s="62">
        <f>ROUND(C24+C25-C23,8)</f>
        <v>0</v>
      </c>
      <c r="D26" s="49"/>
    </row>
    <row r="27" ht="15.75" customHeight="1">
      <c r="B27" s="20" t="s">
        <v>331</v>
      </c>
      <c r="C27" s="63">
        <f>RAW_Data!$C$46</f>
        <v>0.132</v>
      </c>
      <c r="D27" s="49"/>
    </row>
    <row r="28" ht="15.75" customHeight="1">
      <c r="B28" s="41" t="s">
        <v>332</v>
      </c>
      <c r="C28" s="55">
        <f>C22-C27</f>
        <v>-0.0002247725584</v>
      </c>
      <c r="D28" s="51"/>
    </row>
    <row r="29" ht="15.75" customHeight="1">
      <c r="B29" s="64"/>
      <c r="C29" s="64"/>
      <c r="D29" s="64"/>
    </row>
    <row r="30" ht="15.75" customHeight="1">
      <c r="B30" s="65" t="s">
        <v>333</v>
      </c>
      <c r="C30" s="66"/>
      <c r="D30" s="65"/>
    </row>
    <row r="31" ht="15.75" customHeight="1">
      <c r="B31" s="20" t="s">
        <v>334</v>
      </c>
      <c r="C31" s="67">
        <f>RAW_Data!$C$49</f>
        <v>0.045</v>
      </c>
      <c r="D31" s="49"/>
    </row>
    <row r="32" ht="15.75" customHeight="1">
      <c r="B32" s="20" t="s">
        <v>335</v>
      </c>
      <c r="C32" s="67">
        <f>RAW_Data!$C$50</f>
        <v>0.036</v>
      </c>
      <c r="D32" s="49"/>
    </row>
    <row r="33" ht="15.75" customHeight="1">
      <c r="B33" s="20" t="s">
        <v>201</v>
      </c>
      <c r="C33" s="67">
        <f>RAW_Data!$C$51</f>
        <v>0.035</v>
      </c>
      <c r="D33" s="49"/>
    </row>
    <row r="34" ht="15.75" customHeight="1">
      <c r="B34" s="20" t="s">
        <v>336</v>
      </c>
      <c r="C34" s="61">
        <f>SUM(C31:C33)</f>
        <v>0.116</v>
      </c>
      <c r="D34" s="49"/>
    </row>
    <row r="35" ht="15.75" customHeight="1">
      <c r="B35" s="20" t="s">
        <v>337</v>
      </c>
      <c r="C35" s="67">
        <f>RAW_Data!$C$52</f>
        <v>0.116</v>
      </c>
      <c r="D35" s="49"/>
    </row>
    <row r="36" ht="15.75" customHeight="1">
      <c r="B36" s="20" t="s">
        <v>339</v>
      </c>
      <c r="C36" s="61">
        <f>C22-C34</f>
        <v>0.01577522744</v>
      </c>
      <c r="D36" s="49"/>
    </row>
    <row r="37" ht="15.75" customHeight="1">
      <c r="B37" s="20" t="s">
        <v>341</v>
      </c>
      <c r="C37" s="67">
        <f>RAW_Data!$C$47</f>
        <v>0.016</v>
      </c>
      <c r="D37" s="49"/>
    </row>
    <row r="38" ht="15.75" customHeight="1">
      <c r="B38" s="69" t="s">
        <v>342</v>
      </c>
      <c r="C38" s="70">
        <f>C36-C37</f>
        <v>-0.0002247725584</v>
      </c>
      <c r="D38" s="71"/>
    </row>
    <row r="39" ht="15.75" customHeight="1"/>
    <row r="40" ht="30.0" customHeight="1">
      <c r="B40" s="56" t="s">
        <v>344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40:D40"/>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48.71"/>
    <col customWidth="1" min="3" max="6" width="15.86"/>
    <col customWidth="1" min="7" max="7" width="43.0"/>
    <col customWidth="1" min="8" max="8" width="34.86"/>
    <col customWidth="1" min="9" max="9" width="43.0"/>
    <col customWidth="1" min="10" max="26" width="8.71"/>
  </cols>
  <sheetData>
    <row r="1" ht="25.5" customHeight="1">
      <c r="A1" s="74"/>
      <c r="B1" s="76" t="s">
        <v>354</v>
      </c>
      <c r="C1" s="77"/>
      <c r="D1" s="77"/>
      <c r="E1" s="77"/>
      <c r="F1" s="77"/>
    </row>
    <row r="2" ht="18.0" customHeight="1">
      <c r="A2" s="79"/>
      <c r="B2" s="80" t="s">
        <v>356</v>
      </c>
      <c r="C2" s="81"/>
      <c r="D2" s="81"/>
      <c r="E2" s="81"/>
      <c r="F2" s="81"/>
    </row>
    <row r="3" ht="10.5" customHeight="1">
      <c r="A3" s="82"/>
      <c r="B3" s="82"/>
      <c r="C3" s="82"/>
      <c r="D3" s="82"/>
      <c r="E3" s="82"/>
      <c r="F3" s="82"/>
      <c r="G3" s="82"/>
      <c r="H3" s="82"/>
      <c r="I3" s="82"/>
      <c r="J3" s="82"/>
    </row>
    <row r="4" ht="21.0" customHeight="1">
      <c r="A4" s="83"/>
      <c r="B4" s="84" t="s">
        <v>358</v>
      </c>
      <c r="C4" s="84"/>
      <c r="D4" s="84"/>
      <c r="E4" s="84"/>
      <c r="F4" s="84"/>
      <c r="G4" s="85"/>
      <c r="H4" s="85"/>
      <c r="I4" s="85"/>
    </row>
    <row r="5" ht="51.0" customHeight="1">
      <c r="A5" s="83"/>
      <c r="B5" s="87" t="str">
        <f>"Reported operating expenses rose $"&amp;TEXT(OPEX_YoY!E13,"#,##0")&amp;"mm ("&amp;TEXT(OPEX_YoY!F13,"0.0%")&amp;"). Excluding divestiture-related items and the FDIC special assessment, they rose $"&amp;TEXT(OPEX_YoY!E26,"#,##0")&amp;"mm ("&amp;TEXT(OPEX_YoY!E27,"0.0%")&amp;") while average headcount fell about "&amp;TEXT(-Variance!E9,"0.0%")&amp;". Comp and benefits rose $"&amp;TEXT(OPEX_YoY!E4,"#,##0")&amp;"mm, and the $"&amp;TEXT(RAW_Data!$C$31,"#,##0")&amp;"mm Mexico goodwill impairment, which Citi records in Other expenses, explains "&amp;TEXT(RAW_Data!$C$31/OPEX_YoY!E16,"0%")&amp;" of the $"&amp;TEXT(OPEX_YoY!E16,"#,##0")&amp;"mm rise in non-people lines."</f>
        <v>Reported operating expenses rose $1,565mm (2.9%). Excluding divestiture-related items and the FDIC special assessment, they rose $1,447mm (2.7%) while average headcount fell about 2.8%. Comp and benefits rose $1,097mm, and the $726mm Mexico goodwill impairment, which Citi records in Other expenses, explains 98% of the $741mm rise in non-people lines.</v>
      </c>
      <c r="C5" s="88"/>
      <c r="D5" s="88"/>
      <c r="E5" s="88"/>
      <c r="F5" s="89"/>
      <c r="G5" s="90"/>
      <c r="H5" s="90"/>
      <c r="I5" s="91"/>
    </row>
    <row r="6" ht="10.5" customHeight="1">
      <c r="A6" s="82"/>
      <c r="B6" s="92"/>
      <c r="C6" s="92"/>
      <c r="D6" s="92"/>
      <c r="E6" s="92"/>
      <c r="F6" s="92"/>
      <c r="G6" s="92"/>
      <c r="H6" s="92"/>
      <c r="I6" s="92"/>
      <c r="J6" s="82"/>
    </row>
    <row r="7" ht="21.0" customHeight="1">
      <c r="A7" s="83"/>
      <c r="B7" s="93" t="s">
        <v>365</v>
      </c>
      <c r="C7" s="93"/>
      <c r="D7" s="93"/>
      <c r="E7" s="93"/>
      <c r="F7" s="93"/>
      <c r="G7" s="46"/>
      <c r="H7" s="46"/>
      <c r="I7" s="46"/>
    </row>
    <row r="8" ht="19.5" customHeight="1">
      <c r="A8" s="83"/>
      <c r="B8" s="96" t="s">
        <v>151</v>
      </c>
      <c r="C8" s="97" t="s">
        <v>28</v>
      </c>
      <c r="D8" s="97" t="s">
        <v>33</v>
      </c>
      <c r="E8" s="97" t="s">
        <v>157</v>
      </c>
      <c r="F8" s="97" t="s">
        <v>36</v>
      </c>
    </row>
    <row r="9" ht="16.5" customHeight="1">
      <c r="A9" s="83"/>
      <c r="B9" s="98" t="s">
        <v>163</v>
      </c>
      <c r="C9" s="99">
        <f>OPEX_YoY!C13</f>
        <v>53567</v>
      </c>
      <c r="D9" s="99">
        <f>OPEX_YoY!D13</f>
        <v>55132</v>
      </c>
      <c r="E9" s="100">
        <f t="shared" ref="E9:E16" si="1">D9-C9</f>
        <v>1565</v>
      </c>
      <c r="F9" s="101">
        <f t="shared" ref="F9:F11" si="2">D9/C9-1</f>
        <v>0.0292157485</v>
      </c>
      <c r="G9" s="102"/>
      <c r="H9" s="102"/>
      <c r="I9" s="102"/>
    </row>
    <row r="10" ht="16.5" customHeight="1">
      <c r="A10" s="83"/>
      <c r="B10" s="103" t="s">
        <v>377</v>
      </c>
      <c r="C10" s="104">
        <f>OPEX_YoY!D25</f>
        <v>53046</v>
      </c>
      <c r="D10" s="104">
        <f>OPEX_YoY!E25</f>
        <v>54493</v>
      </c>
      <c r="E10" s="105">
        <f t="shared" si="1"/>
        <v>1447</v>
      </c>
      <c r="F10" s="106">
        <f t="shared" si="2"/>
        <v>0.02727821136</v>
      </c>
      <c r="G10" s="102"/>
      <c r="H10" s="102"/>
      <c r="I10" s="102"/>
    </row>
    <row r="11" ht="16.5" customHeight="1">
      <c r="A11" s="83"/>
      <c r="B11" s="98" t="s">
        <v>380</v>
      </c>
      <c r="C11" s="99">
        <f>RAW_Data!$C$14</f>
        <v>80722</v>
      </c>
      <c r="D11" s="99">
        <f>RAW_Data!$C$2</f>
        <v>85225</v>
      </c>
      <c r="E11" s="100">
        <f t="shared" si="1"/>
        <v>4503</v>
      </c>
      <c r="F11" s="101">
        <f t="shared" si="2"/>
        <v>0.05578404896</v>
      </c>
      <c r="G11" s="102"/>
      <c r="H11" s="102"/>
      <c r="I11" s="102"/>
    </row>
    <row r="12" ht="16.5" customHeight="1">
      <c r="A12" s="83"/>
      <c r="B12" s="103" t="s">
        <v>382</v>
      </c>
      <c r="C12" s="106">
        <f t="shared" ref="C12:D12" si="3">C9/C11</f>
        <v>0.6635985233</v>
      </c>
      <c r="D12" s="106">
        <f t="shared" si="3"/>
        <v>0.646899384</v>
      </c>
      <c r="E12" s="107">
        <f t="shared" si="1"/>
        <v>-0.01669913934</v>
      </c>
      <c r="F12" s="108"/>
      <c r="G12" s="102"/>
      <c r="H12" s="102"/>
      <c r="I12" s="102"/>
    </row>
    <row r="13" ht="16.5" customHeight="1">
      <c r="A13" s="83"/>
      <c r="B13" s="98" t="s">
        <v>210</v>
      </c>
      <c r="C13" s="99">
        <f>Variance!D5</f>
        <v>229000</v>
      </c>
      <c r="D13" s="99">
        <f>Variance!E5</f>
        <v>226000</v>
      </c>
      <c r="E13" s="100">
        <f t="shared" si="1"/>
        <v>-3000</v>
      </c>
      <c r="F13" s="101">
        <f t="shared" ref="F13:F15" si="4">D13/C13-1</f>
        <v>-0.01310043668</v>
      </c>
      <c r="G13" s="109"/>
      <c r="H13" s="110"/>
      <c r="I13" s="109"/>
    </row>
    <row r="14" ht="16.5" customHeight="1">
      <c r="A14" s="83"/>
      <c r="B14" s="103" t="s">
        <v>385</v>
      </c>
      <c r="C14" s="104">
        <f>Variance!D6</f>
        <v>234000</v>
      </c>
      <c r="D14" s="104">
        <f>Variance!E6</f>
        <v>227500</v>
      </c>
      <c r="E14" s="105">
        <f t="shared" si="1"/>
        <v>-6500</v>
      </c>
      <c r="F14" s="106">
        <f t="shared" si="4"/>
        <v>-0.02777777778</v>
      </c>
      <c r="G14" s="109"/>
      <c r="H14" s="110"/>
      <c r="I14" s="109"/>
    </row>
    <row r="15" ht="16.5" customHeight="1">
      <c r="A15" s="83"/>
      <c r="B15" s="98" t="s">
        <v>387</v>
      </c>
      <c r="C15" s="99">
        <f>Variance!D8</f>
        <v>121974.359</v>
      </c>
      <c r="D15" s="99">
        <f>Variance!E8</f>
        <v>130281.3187</v>
      </c>
      <c r="E15" s="100">
        <f t="shared" si="1"/>
        <v>8306.959707</v>
      </c>
      <c r="F15" s="101">
        <f t="shared" si="4"/>
        <v>0.06810414727</v>
      </c>
    </row>
    <row r="16" ht="16.5" customHeight="1">
      <c r="A16" s="83"/>
      <c r="B16" s="103" t="s">
        <v>217</v>
      </c>
      <c r="C16" s="112">
        <f>Regulatory!C21</f>
        <v>0.1362847679</v>
      </c>
      <c r="D16" s="112">
        <f>Regulatory!C22</f>
        <v>0.1317752274</v>
      </c>
      <c r="E16" s="107">
        <f t="shared" si="1"/>
        <v>-0.004509540468</v>
      </c>
      <c r="F16" s="108"/>
    </row>
    <row r="17" ht="16.5" customHeight="1">
      <c r="A17" s="83"/>
      <c r="B17" s="113" t="str">
        <f>"CET1 headroom over "&amp;TEXT(Regulatory!C34,"0.0%")&amp;" requirement (pp)"</f>
        <v>CET1 headroom over 11.6% requirement (pp)</v>
      </c>
      <c r="C17" s="114"/>
      <c r="D17" s="115">
        <f>Regulatory!C36</f>
        <v>0.01577522744</v>
      </c>
      <c r="E17" s="114"/>
      <c r="F17" s="114"/>
    </row>
    <row r="18" ht="10.5" customHeight="1">
      <c r="A18" s="82"/>
      <c r="B18" s="82"/>
      <c r="C18" s="82"/>
      <c r="D18" s="82"/>
      <c r="E18" s="82"/>
      <c r="F18" s="82"/>
      <c r="G18" s="82"/>
      <c r="H18" s="82"/>
      <c r="I18" s="82"/>
      <c r="J18" s="82"/>
    </row>
    <row r="19" ht="21.0" customHeight="1">
      <c r="A19" s="83"/>
      <c r="B19" s="93" t="s">
        <v>392</v>
      </c>
      <c r="C19" s="93"/>
      <c r="D19" s="93"/>
      <c r="E19" s="93"/>
      <c r="F19" s="93"/>
      <c r="G19" s="93"/>
      <c r="H19" s="93"/>
      <c r="I19" s="93"/>
    </row>
    <row r="20" ht="19.5" customHeight="1">
      <c r="A20" s="83"/>
      <c r="B20" s="96" t="s">
        <v>368</v>
      </c>
      <c r="C20" s="97" t="s">
        <v>20</v>
      </c>
      <c r="D20" s="116" t="s">
        <v>393</v>
      </c>
      <c r="E20" s="117"/>
      <c r="F20" s="117"/>
      <c r="G20" s="117"/>
      <c r="H20" s="117"/>
      <c r="I20" s="118"/>
    </row>
    <row r="21" ht="19.5" customHeight="1">
      <c r="A21" s="83"/>
      <c r="B21" s="119" t="s">
        <v>374</v>
      </c>
      <c r="C21" s="120">
        <f>Variance!D23</f>
        <v>53567</v>
      </c>
      <c r="D21" s="121" t="str">
        <f>"Recast comparative from the FY2025 10-K."</f>
        <v>Recast comparative from the FY2025 10-K.</v>
      </c>
      <c r="E21" s="122"/>
      <c r="F21" s="122"/>
      <c r="G21" s="122"/>
      <c r="H21" s="122"/>
      <c r="I21" s="123"/>
    </row>
    <row r="22" ht="30.0" customHeight="1">
      <c r="A22" s="83"/>
      <c r="B22" s="98" t="s">
        <v>376</v>
      </c>
      <c r="C22" s="124">
        <f>Variance!C24</f>
        <v>-792.8333333</v>
      </c>
      <c r="D22" s="125" t="str">
        <f>"Average employees fell from "&amp;TEXT(Variance!D6,"#,##0")&amp;" to "&amp;TEXT(Variance!E6,"#,##0")&amp;" (mean of year-end figures), a saving of $"&amp;TEXT(ABS(Variance!C15),"#,##0")&amp;"mm at FY2024 cost per head."</f>
        <v>Average employees fell from 234,000 to 227,500 (mean of year-end figures), a saving of $793mm at FY2024 cost per head.</v>
      </c>
      <c r="E22" s="126"/>
      <c r="F22" s="126"/>
      <c r="G22" s="126"/>
      <c r="H22" s="126"/>
      <c r="I22" s="127"/>
    </row>
    <row r="23" ht="30.0" customHeight="1">
      <c r="A23" s="83"/>
      <c r="B23" s="103" t="s">
        <v>378</v>
      </c>
      <c r="C23" s="128">
        <f>Variance!C25</f>
        <v>1889.833333</v>
      </c>
      <c r="D23" s="129" t="str">
        <f>"Comp per average employee rose from $"&amp;TEXT(Variance!D8,"#,##0")&amp;" to $"&amp;TEXT(Variance!E8,"#,##0")&amp;" ("&amp;TEXT(Variance!E10,"0.0%")&amp;"). This includes severance, FX and mix, so it is not a pure wage measure."</f>
        <v>Comp per average employee rose from $121,974 to $130,281 (6.8%). This includes severance, FX and mix, so it is not a pure wage measure.</v>
      </c>
      <c r="E23" s="126"/>
      <c r="F23" s="126"/>
      <c r="G23" s="126"/>
      <c r="H23" s="126"/>
      <c r="I23" s="127"/>
    </row>
    <row r="24" ht="30.0" customHeight="1">
      <c r="A24" s="83"/>
      <c r="B24" s="98" t="s">
        <v>379</v>
      </c>
      <c r="C24" s="124">
        <f>Variance!C26</f>
        <v>741</v>
      </c>
      <c r="D24" s="125" t="str">
        <f>"Six non-people lines rose $"&amp;TEXT(OPEX_YoY!E16,"#,##0")&amp;"mm. That includes the $"&amp;TEXT(RAW_Data!$C$31,"#,##0")&amp;"mm Mexico goodwill impairment, which Citi records in Other expenses. Without it those lines rose $"&amp;TEXT(OPEX_YoY!E16-RAW_Data!$C$31,"#,##0")&amp;"mm."</f>
        <v>Six non-people lines rose $741mm. That includes the $726mm Mexico goodwill impairment, which Citi records in Other expenses. Without it those lines rose $15mm.</v>
      </c>
      <c r="E24" s="126"/>
      <c r="F24" s="126"/>
      <c r="G24" s="126"/>
      <c r="H24" s="126"/>
      <c r="I24" s="127"/>
    </row>
    <row r="25" ht="30.0" customHeight="1">
      <c r="A25" s="83"/>
      <c r="B25" s="103" t="s">
        <v>381</v>
      </c>
      <c r="C25" s="128">
        <f>Variance!C27</f>
        <v>-273</v>
      </c>
      <c r="D25" s="129" t="str">
        <f>"Restructuring moved from a $"&amp;TEXT(OPEX_YoY!C11,"#,##0")&amp;"mm charge to a $"&amp;TEXT(ABS(OPEX_YoY!D11),"#,##0")&amp;"mm credit. It is not all of severance: part is booked inside comp and benefits."</f>
        <v>Restructuring moved from a $259mm charge to a $14mm credit. It is not all of severance: part is booked inside comp and benefits.</v>
      </c>
      <c r="E25" s="126"/>
      <c r="F25" s="126"/>
      <c r="G25" s="126"/>
      <c r="H25" s="126"/>
      <c r="I25" s="127"/>
    </row>
    <row r="26" ht="19.5" customHeight="1">
      <c r="A26" s="83"/>
      <c r="B26" s="130" t="s">
        <v>396</v>
      </c>
      <c r="C26" s="131">
        <f>Variance!C28</f>
        <v>55132</v>
      </c>
      <c r="D26" s="132" t="str">
        <f>"Bridge check vs reported: "&amp;TEXT(Variance!C29,"0.0")&amp;" (fails if the line items do not foot)."</f>
        <v>Bridge check vs reported: 0.0 (fails if the line items do not foot).</v>
      </c>
      <c r="E26" s="133"/>
      <c r="F26" s="133"/>
      <c r="G26" s="133"/>
      <c r="H26" s="133"/>
      <c r="I26" s="134"/>
    </row>
    <row r="27" ht="10.5" customHeight="1">
      <c r="A27" s="82"/>
      <c r="B27" s="135"/>
      <c r="C27" s="135"/>
      <c r="D27" s="135"/>
      <c r="E27" s="135"/>
      <c r="F27" s="82"/>
      <c r="G27" s="82"/>
      <c r="H27" s="82"/>
      <c r="I27" s="82"/>
      <c r="J27" s="82"/>
    </row>
    <row r="28" ht="21.0" customHeight="1">
      <c r="A28" s="83"/>
      <c r="B28" s="136" t="s">
        <v>397</v>
      </c>
      <c r="C28" s="137"/>
      <c r="D28" s="137"/>
      <c r="E28" s="137"/>
      <c r="F28" s="93"/>
      <c r="G28" s="46"/>
      <c r="H28" s="46"/>
      <c r="I28" s="46"/>
    </row>
    <row r="29" ht="19.5" customHeight="1">
      <c r="A29" s="83"/>
      <c r="B29" s="96" t="s">
        <v>151</v>
      </c>
      <c r="C29" s="97" t="s">
        <v>218</v>
      </c>
      <c r="D29" s="97" t="s">
        <v>28</v>
      </c>
      <c r="E29" s="97" t="s">
        <v>33</v>
      </c>
      <c r="F29" s="138"/>
    </row>
    <row r="30" ht="16.5" customHeight="1">
      <c r="A30" s="83"/>
      <c r="B30" s="139" t="s">
        <v>163</v>
      </c>
      <c r="C30" s="140">
        <f>OPEX_YoY!C22</f>
        <v>55970</v>
      </c>
      <c r="D30" s="140">
        <f>OPEX_YoY!D22</f>
        <v>53567</v>
      </c>
      <c r="E30" s="140">
        <f>OPEX_YoY!E22</f>
        <v>55132</v>
      </c>
      <c r="F30" s="141"/>
    </row>
    <row r="31" ht="16.5" customHeight="1">
      <c r="A31" s="83"/>
      <c r="B31" s="142" t="s">
        <v>398</v>
      </c>
      <c r="C31" s="143"/>
      <c r="D31" s="144">
        <f>OPEX_YoY!D28</f>
        <v>-0.04293371449</v>
      </c>
      <c r="E31" s="144">
        <f>OPEX_YoY!E28</f>
        <v>0.0292157485</v>
      </c>
      <c r="F31" s="145"/>
    </row>
    <row r="32" ht="16.5" customHeight="1">
      <c r="A32" s="83"/>
      <c r="B32" s="139" t="s">
        <v>202</v>
      </c>
      <c r="C32" s="140">
        <f>OPEX_YoY!C25</f>
        <v>53892</v>
      </c>
      <c r="D32" s="140">
        <f>OPEX_YoY!D25</f>
        <v>53046</v>
      </c>
      <c r="E32" s="140">
        <f>OPEX_YoY!E25</f>
        <v>54493</v>
      </c>
      <c r="F32" s="141"/>
    </row>
    <row r="33" ht="16.5" customHeight="1">
      <c r="A33" s="83"/>
      <c r="B33" s="142" t="s">
        <v>398</v>
      </c>
      <c r="C33" s="143"/>
      <c r="D33" s="144">
        <f>OPEX_YoY!D27</f>
        <v>-0.01569806279</v>
      </c>
      <c r="E33" s="144">
        <f>OPEX_YoY!E27</f>
        <v>0.02727821136</v>
      </c>
      <c r="F33" s="145"/>
    </row>
    <row r="34" ht="16.5" customHeight="1">
      <c r="A34" s="83"/>
      <c r="B34" s="139" t="s">
        <v>208</v>
      </c>
      <c r="C34" s="146">
        <f>RAW_Data!$C$25/RAW_Data!$C$24</f>
        <v>0.7169574463</v>
      </c>
      <c r="D34" s="146">
        <f>RAW_Data!$C$23/RAW_Data!$C$14</f>
        <v>0.6635985233</v>
      </c>
      <c r="E34" s="146">
        <f>RAW_Data!$C$12/RAW_Data!$C$2</f>
        <v>0.646899384</v>
      </c>
      <c r="F34" s="141"/>
    </row>
    <row r="35" ht="16.5" customHeight="1">
      <c r="A35" s="83"/>
      <c r="B35" s="147" t="s">
        <v>210</v>
      </c>
      <c r="C35" s="148">
        <f>Variance!C5</f>
        <v>239000</v>
      </c>
      <c r="D35" s="148">
        <f>Variance!D5</f>
        <v>229000</v>
      </c>
      <c r="E35" s="148">
        <f>Variance!E5</f>
        <v>226000</v>
      </c>
      <c r="F35" s="108"/>
    </row>
    <row r="36" ht="16.5" customHeight="1">
      <c r="A36" s="83"/>
      <c r="B36" s="149" t="s">
        <v>399</v>
      </c>
      <c r="C36" s="150">
        <f>RAW_Data!$C$26</f>
        <v>781</v>
      </c>
      <c r="D36" s="150">
        <f>RAW_Data!$C$22</f>
        <v>259</v>
      </c>
      <c r="E36" s="150">
        <f>RAW_Data!$C$10</f>
        <v>-14</v>
      </c>
      <c r="F36" s="151"/>
      <c r="G36" s="152"/>
      <c r="H36" s="152"/>
      <c r="I36" s="152"/>
    </row>
    <row r="37" ht="36.0" customHeight="1">
      <c r="A37" s="83"/>
      <c r="B37" s="153" t="str">
        <f>"Reported expenses moved "&amp;TEXT(OPEX_YoY!D28,"0.0%;-0.0%")&amp;" in FY2024 and "&amp;TEXT(OPEX_YoY!E28,"0.0%;-0.0%")&amp;" in FY2025. On the underlying basis the moves were "&amp;TEXT(OPEX_YoY!D27,"0.0%;-0.0%")&amp;" and "&amp;TEXT(OPEX_YoY!E27,"0.0%;-0.0%")&amp;". The roll-off of the FDIC special assessment explains "&amp;TEXT((RAW_Data!$C$36-RAW_Data!$C$35)/(RAW_Data!$C$25-RAW_Data!$C$23),"0%")&amp;" of the FY2024 reported decline."</f>
        <v>Reported expenses moved -4.3% in FY2024 and 2.9% in FY2025. On the underlying basis the moves were -1.6% and 2.7%. The roll-off of the FDIC special assessment explains 63% of the FY2024 reported decline.</v>
      </c>
      <c r="C37" s="154"/>
      <c r="D37" s="154"/>
      <c r="E37" s="154"/>
      <c r="F37" s="155"/>
      <c r="G37" s="156"/>
      <c r="H37" s="156"/>
      <c r="I37" s="157"/>
    </row>
    <row r="38" ht="10.5" customHeight="1">
      <c r="A38" s="82"/>
      <c r="B38" s="92"/>
      <c r="C38" s="92"/>
      <c r="D38" s="92"/>
      <c r="E38" s="92"/>
      <c r="F38" s="92"/>
      <c r="G38" s="92"/>
      <c r="H38" s="92"/>
      <c r="I38" s="92"/>
      <c r="J38" s="82"/>
    </row>
    <row r="39" ht="21.0" customHeight="1">
      <c r="A39" s="83"/>
      <c r="B39" s="93" t="s">
        <v>400</v>
      </c>
      <c r="C39" s="93"/>
      <c r="D39" s="93"/>
      <c r="E39" s="93"/>
      <c r="F39" s="93"/>
      <c r="G39" s="158"/>
      <c r="H39" s="158"/>
      <c r="I39" s="158"/>
    </row>
    <row r="40" ht="24.0" customHeight="1">
      <c r="A40" s="83"/>
      <c r="B40" s="159" t="s">
        <v>401</v>
      </c>
      <c r="C40" s="160"/>
      <c r="D40" s="160"/>
      <c r="E40" s="160"/>
      <c r="F40" s="161"/>
      <c r="G40" s="162"/>
      <c r="H40" s="162"/>
      <c r="I40" s="163"/>
    </row>
    <row r="41" ht="27.0" customHeight="1">
      <c r="A41" s="83"/>
      <c r="B41" s="159" t="s">
        <v>402</v>
      </c>
      <c r="C41" s="160"/>
      <c r="D41" s="160"/>
      <c r="E41" s="160"/>
      <c r="F41" s="161"/>
      <c r="G41" s="162"/>
      <c r="H41" s="162"/>
      <c r="I41" s="163"/>
    </row>
    <row r="42" ht="36.0" customHeight="1">
      <c r="A42" s="83"/>
      <c r="B42" s="159" t="s">
        <v>403</v>
      </c>
      <c r="C42" s="160"/>
      <c r="D42" s="160"/>
      <c r="E42" s="160"/>
      <c r="F42" s="161"/>
      <c r="G42" s="162"/>
      <c r="H42" s="162"/>
      <c r="I42" s="163"/>
    </row>
    <row r="43" ht="28.5" customHeight="1">
      <c r="A43" s="83"/>
      <c r="B43" s="164" t="s">
        <v>404</v>
      </c>
      <c r="C43" s="117"/>
      <c r="D43" s="117"/>
      <c r="E43" s="117"/>
      <c r="F43" s="165"/>
      <c r="G43" s="162"/>
      <c r="H43" s="162"/>
      <c r="I43" s="163"/>
    </row>
    <row r="44" ht="21.0" customHeight="1">
      <c r="A44" s="83"/>
      <c r="B44" s="93" t="s">
        <v>405</v>
      </c>
      <c r="C44" s="93"/>
      <c r="D44" s="93"/>
      <c r="E44" s="93"/>
      <c r="F44" s="93"/>
      <c r="G44" s="166"/>
      <c r="H44" s="166"/>
      <c r="I44" s="166"/>
    </row>
    <row r="45" ht="28.5" customHeight="1">
      <c r="A45" s="83"/>
      <c r="B45" s="159" t="s">
        <v>406</v>
      </c>
      <c r="C45" s="160"/>
      <c r="D45" s="160"/>
      <c r="E45" s="160"/>
      <c r="F45" s="161"/>
      <c r="G45" s="162"/>
      <c r="H45" s="162"/>
      <c r="I45" s="163"/>
    </row>
    <row r="46" ht="25.5" customHeight="1">
      <c r="A46" s="83"/>
      <c r="B46" s="159" t="s">
        <v>407</v>
      </c>
      <c r="C46" s="160"/>
      <c r="D46" s="160"/>
      <c r="E46" s="160"/>
      <c r="F46" s="161"/>
      <c r="G46" s="162"/>
      <c r="H46" s="162"/>
      <c r="I46" s="163"/>
    </row>
    <row r="47" ht="36.0" customHeight="1">
      <c r="A47" s="83"/>
      <c r="B47" s="164" t="s">
        <v>408</v>
      </c>
      <c r="C47" s="117"/>
      <c r="D47" s="117"/>
      <c r="E47" s="117"/>
      <c r="F47" s="165"/>
      <c r="G47" s="162"/>
      <c r="H47" s="162"/>
      <c r="I47" s="163"/>
    </row>
    <row r="48" ht="10.5" customHeight="1">
      <c r="A48" s="82"/>
      <c r="B48" s="92"/>
      <c r="C48" s="92"/>
      <c r="D48" s="92"/>
      <c r="E48" s="92"/>
      <c r="F48" s="92"/>
      <c r="G48" s="82"/>
      <c r="H48" s="82"/>
      <c r="I48" s="82"/>
      <c r="J48" s="82"/>
    </row>
    <row r="49" ht="21.0" customHeight="1">
      <c r="A49" s="83"/>
      <c r="B49" s="93" t="s">
        <v>409</v>
      </c>
      <c r="C49" s="93"/>
      <c r="D49" s="93"/>
      <c r="E49" s="93"/>
      <c r="F49" s="93"/>
      <c r="G49" s="158"/>
      <c r="H49" s="158"/>
      <c r="I49" s="158"/>
    </row>
    <row r="50" ht="22.5" customHeight="1">
      <c r="A50" s="83"/>
      <c r="B50" s="159" t="s">
        <v>410</v>
      </c>
      <c r="C50" s="160"/>
      <c r="D50" s="160"/>
      <c r="E50" s="160"/>
      <c r="F50" s="161"/>
      <c r="G50" s="162"/>
      <c r="H50" s="162"/>
      <c r="I50" s="163"/>
    </row>
    <row r="51" ht="22.5" customHeight="1">
      <c r="A51" s="83"/>
      <c r="B51" s="159" t="s">
        <v>411</v>
      </c>
      <c r="C51" s="160"/>
      <c r="D51" s="160"/>
      <c r="E51" s="160"/>
      <c r="F51" s="161"/>
      <c r="G51" s="162"/>
      <c r="H51" s="162"/>
      <c r="I51" s="163"/>
    </row>
    <row r="52" ht="22.5" customHeight="1">
      <c r="A52" s="83"/>
      <c r="B52" s="164" t="s">
        <v>412</v>
      </c>
      <c r="C52" s="117"/>
      <c r="D52" s="117"/>
      <c r="E52" s="117"/>
      <c r="F52" s="165"/>
      <c r="G52" s="162"/>
      <c r="H52" s="162"/>
      <c r="I52" s="163"/>
    </row>
    <row r="53" ht="10.5" customHeight="1">
      <c r="A53" s="82"/>
      <c r="B53" s="92"/>
      <c r="C53" s="92"/>
      <c r="D53" s="92"/>
      <c r="E53" s="92"/>
      <c r="F53" s="92"/>
      <c r="G53" s="82"/>
      <c r="H53" s="82"/>
      <c r="I53" s="82"/>
      <c r="J53" s="82"/>
    </row>
    <row r="54" ht="33.0" customHeight="1">
      <c r="A54" s="83"/>
      <c r="B54" s="167" t="s">
        <v>413</v>
      </c>
    </row>
    <row r="55" ht="15.75" customHeight="1">
      <c r="A55" s="83"/>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5:F5"/>
    <mergeCell ref="D20:I20"/>
    <mergeCell ref="D21:I21"/>
    <mergeCell ref="D22:I22"/>
    <mergeCell ref="D23:I23"/>
    <mergeCell ref="D24:I24"/>
    <mergeCell ref="D25:I25"/>
    <mergeCell ref="B46:F46"/>
    <mergeCell ref="B47:F47"/>
    <mergeCell ref="B50:F50"/>
    <mergeCell ref="B51:F51"/>
    <mergeCell ref="B52:F52"/>
    <mergeCell ref="B54:I54"/>
    <mergeCell ref="D26:I26"/>
    <mergeCell ref="B37:F37"/>
    <mergeCell ref="B40:F40"/>
    <mergeCell ref="B41:F41"/>
    <mergeCell ref="B42:F42"/>
    <mergeCell ref="B43:F43"/>
    <mergeCell ref="B45:F45"/>
  </mergeCells>
  <printOptions/>
  <pageMargins bottom="1.0" footer="0.0" header="0.0" left="0.75" right="0.75" top="1.0"/>
  <pageSetup paperSize="9" orientation="portrait"/>
  <drawing r:id="rId1"/>
</worksheet>
</file>